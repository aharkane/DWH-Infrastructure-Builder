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Portfolio\1. SSIS\2. AdventureWorks Sales Analysis\Data\"/>
    </mc:Choice>
  </mc:AlternateContent>
  <xr:revisionPtr revIDLastSave="0" documentId="13_ncr:1_{ACD4FAF1-61D7-46A8-9849-ADB41A2F3818}" xr6:coauthVersionLast="47" xr6:coauthVersionMax="47" xr10:uidLastSave="{00000000-0000-0000-0000-000000000000}"/>
  <bookViews>
    <workbookView xWindow="-4650" yWindow="-21720" windowWidth="38640" windowHeight="21120" tabRatio="789" activeTab="2" xr2:uid="{355833C4-890A-44D1-B548-A094066DCA2A}"/>
  </bookViews>
  <sheets>
    <sheet name="OLTP Tables" sheetId="10" r:id="rId1"/>
    <sheet name="DWH Tables Metadata" sheetId="19" r:id="rId2"/>
    <sheet name="Loading Data MetaData" sheetId="18" r:id="rId3"/>
  </sheets>
  <definedNames>
    <definedName name="_xlnm._FilterDatabase" localSheetId="2" hidden="1">'Loading Data MetaData'!$A$1:$R$100</definedName>
    <definedName name="_xlnm._FilterDatabase" localSheetId="0" hidden="1">'OLTP Tables'!$A$2:$E$39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18" l="1" a="1"/>
  <c r="K62" i="18" s="1"/>
  <c r="K38" i="18" a="1"/>
  <c r="K38" i="18" s="1"/>
  <c r="M63" i="18"/>
  <c r="O63" i="18" s="1"/>
  <c r="N63" i="18"/>
  <c r="P63" i="18"/>
  <c r="M64" i="18"/>
  <c r="N64" i="18"/>
  <c r="P64" i="18"/>
  <c r="M65" i="18"/>
  <c r="Q66" i="18" s="1"/>
  <c r="N65" i="18"/>
  <c r="P65" i="18"/>
  <c r="M66" i="18"/>
  <c r="Q67" i="18" s="1"/>
  <c r="N66" i="18"/>
  <c r="O66" i="18"/>
  <c r="P66" i="18"/>
  <c r="M67" i="18"/>
  <c r="O67" i="18" s="1"/>
  <c r="N67" i="18"/>
  <c r="P67" i="18"/>
  <c r="M68" i="18"/>
  <c r="Q69" i="18" s="1"/>
  <c r="N68" i="18"/>
  <c r="P68" i="18"/>
  <c r="M69" i="18"/>
  <c r="N69" i="18"/>
  <c r="O69" i="18"/>
  <c r="P69" i="18"/>
  <c r="F63" i="18"/>
  <c r="H63" i="18" s="1"/>
  <c r="G63" i="18"/>
  <c r="I63" i="18"/>
  <c r="F64" i="18"/>
  <c r="J65" i="18" s="1"/>
  <c r="G64" i="18"/>
  <c r="I64" i="18"/>
  <c r="F65" i="18"/>
  <c r="H65" i="18" s="1"/>
  <c r="G65" i="18"/>
  <c r="I65" i="18"/>
  <c r="F66" i="18"/>
  <c r="J66" i="18" s="1"/>
  <c r="G66" i="18"/>
  <c r="H66" i="18"/>
  <c r="I66" i="18"/>
  <c r="F67" i="18"/>
  <c r="H67" i="18" s="1"/>
  <c r="J67" i="18" s="1"/>
  <c r="G67" i="18"/>
  <c r="I67" i="18"/>
  <c r="F39" i="18"/>
  <c r="H39" i="18" s="1"/>
  <c r="G39" i="18"/>
  <c r="I39" i="18"/>
  <c r="F40" i="18"/>
  <c r="G40" i="18"/>
  <c r="I40" i="18"/>
  <c r="F41" i="18"/>
  <c r="J42" i="18" s="1"/>
  <c r="G41" i="18"/>
  <c r="I41" i="18"/>
  <c r="F42" i="18"/>
  <c r="G42" i="18"/>
  <c r="H42" i="18"/>
  <c r="I42" i="18"/>
  <c r="F43" i="18"/>
  <c r="G43" i="18"/>
  <c r="J43" i="18" s="1"/>
  <c r="H43" i="18"/>
  <c r="I43" i="18"/>
  <c r="F44" i="18"/>
  <c r="J45" i="18" s="1"/>
  <c r="G44" i="18"/>
  <c r="I44" i="18"/>
  <c r="F45" i="18"/>
  <c r="H45" i="18" s="1"/>
  <c r="G45" i="18"/>
  <c r="I45" i="18"/>
  <c r="F46" i="18"/>
  <c r="G46" i="18"/>
  <c r="H46" i="18"/>
  <c r="I46" i="18"/>
  <c r="F47" i="18"/>
  <c r="H47" i="18" s="1"/>
  <c r="G47" i="18"/>
  <c r="I47" i="18"/>
  <c r="F48" i="18"/>
  <c r="G48" i="18"/>
  <c r="I48" i="18"/>
  <c r="F49" i="18"/>
  <c r="J50" i="18" s="1"/>
  <c r="G49" i="18"/>
  <c r="I49" i="18"/>
  <c r="F50" i="18"/>
  <c r="G50" i="18"/>
  <c r="H50" i="18"/>
  <c r="I50" i="18"/>
  <c r="F51" i="18"/>
  <c r="G51" i="18"/>
  <c r="H51" i="18"/>
  <c r="I51" i="18"/>
  <c r="F52" i="18"/>
  <c r="J51" i="18" s="1"/>
  <c r="G52" i="18"/>
  <c r="I52" i="18"/>
  <c r="F21" i="18"/>
  <c r="G21" i="18"/>
  <c r="I21" i="18"/>
  <c r="F22" i="18"/>
  <c r="H22" i="18" s="1"/>
  <c r="G22" i="18"/>
  <c r="I22" i="18"/>
  <c r="F23" i="18"/>
  <c r="J24" i="18" s="1"/>
  <c r="G23" i="18"/>
  <c r="I23" i="18"/>
  <c r="F24" i="18"/>
  <c r="H24" i="18" s="1"/>
  <c r="G24" i="18"/>
  <c r="I24" i="18"/>
  <c r="F25" i="18"/>
  <c r="G25" i="18"/>
  <c r="H25" i="18"/>
  <c r="J25" i="18" s="1"/>
  <c r="I25" i="18"/>
  <c r="F26" i="18"/>
  <c r="H26" i="18" s="1"/>
  <c r="G26" i="18"/>
  <c r="I26" i="18"/>
  <c r="F27" i="18"/>
  <c r="H27" i="18" s="1"/>
  <c r="G27" i="18"/>
  <c r="I27" i="18"/>
  <c r="F28" i="18"/>
  <c r="G28" i="18"/>
  <c r="H28" i="18"/>
  <c r="I28" i="18"/>
  <c r="F29" i="18"/>
  <c r="G29" i="18"/>
  <c r="I29" i="18"/>
  <c r="F30" i="18"/>
  <c r="H30" i="18" s="1"/>
  <c r="G30" i="18"/>
  <c r="I30" i="18"/>
  <c r="F31" i="18"/>
  <c r="G31" i="18"/>
  <c r="H31" i="18"/>
  <c r="I31" i="18"/>
  <c r="J31" i="18"/>
  <c r="F38" i="18"/>
  <c r="F20" i="18"/>
  <c r="Q25" i="18"/>
  <c r="Q22" i="18"/>
  <c r="Q23" i="18"/>
  <c r="Q24" i="18"/>
  <c r="Q21" i="18"/>
  <c r="Q20" i="18"/>
  <c r="Q62" i="18"/>
  <c r="L62" i="18" a="1"/>
  <c r="L62" i="18" s="1"/>
  <c r="E62" i="18" a="1"/>
  <c r="E62" i="18" s="1"/>
  <c r="M42" i="18"/>
  <c r="Q43" i="18" s="1"/>
  <c r="N42" i="18"/>
  <c r="P42" i="18"/>
  <c r="M43" i="18"/>
  <c r="O43" i="18" s="1"/>
  <c r="N43" i="18"/>
  <c r="P43" i="18"/>
  <c r="E38" i="18" a="1"/>
  <c r="E38" i="18" s="1"/>
  <c r="D43" i="18"/>
  <c r="C43" i="18"/>
  <c r="D42" i="18"/>
  <c r="C42" i="18"/>
  <c r="D22" i="18"/>
  <c r="C22" i="18"/>
  <c r="A78" i="19"/>
  <c r="B78" i="19"/>
  <c r="A79" i="19"/>
  <c r="B79" i="19"/>
  <c r="A80" i="19"/>
  <c r="B80" i="19"/>
  <c r="J80" i="19" s="1"/>
  <c r="A81" i="19"/>
  <c r="B81" i="19"/>
  <c r="J81" i="19" s="1"/>
  <c r="A82" i="19"/>
  <c r="B82" i="19"/>
  <c r="A83" i="19"/>
  <c r="B83" i="19"/>
  <c r="A84" i="19"/>
  <c r="B84" i="19"/>
  <c r="A85" i="19"/>
  <c r="B85" i="19"/>
  <c r="J85" i="19" s="1"/>
  <c r="A86" i="19"/>
  <c r="B86" i="19"/>
  <c r="A87" i="19"/>
  <c r="B87" i="19"/>
  <c r="A88" i="19"/>
  <c r="B88" i="19"/>
  <c r="J88" i="19" s="1"/>
  <c r="A89" i="19"/>
  <c r="B89" i="19"/>
  <c r="J89" i="19" s="1"/>
  <c r="A90" i="19"/>
  <c r="B90" i="19"/>
  <c r="A91" i="19"/>
  <c r="B91" i="19"/>
  <c r="A92" i="19"/>
  <c r="B92" i="19"/>
  <c r="J92" i="19" s="1"/>
  <c r="A93" i="19"/>
  <c r="B93" i="19"/>
  <c r="J93" i="19" s="1"/>
  <c r="A94" i="19"/>
  <c r="B94" i="19"/>
  <c r="J94" i="19" s="1"/>
  <c r="A95" i="19"/>
  <c r="B95" i="19"/>
  <c r="A96" i="19"/>
  <c r="B96" i="19"/>
  <c r="J96" i="19" s="1"/>
  <c r="A97" i="19"/>
  <c r="B97" i="19"/>
  <c r="J97" i="19" s="1"/>
  <c r="A98" i="19"/>
  <c r="B98" i="19"/>
  <c r="A99" i="19"/>
  <c r="B99" i="19"/>
  <c r="A100" i="19"/>
  <c r="B100" i="19"/>
  <c r="J100" i="19" s="1"/>
  <c r="J78" i="19"/>
  <c r="J82" i="19"/>
  <c r="J84" i="19"/>
  <c r="J86" i="19"/>
  <c r="J90" i="19"/>
  <c r="J98" i="19"/>
  <c r="A63" i="19"/>
  <c r="B63" i="19"/>
  <c r="A64" i="19"/>
  <c r="B64" i="19"/>
  <c r="A65" i="19"/>
  <c r="B65" i="19"/>
  <c r="J65" i="19" s="1"/>
  <c r="A66" i="19"/>
  <c r="B66" i="19"/>
  <c r="J66" i="19" s="1"/>
  <c r="A67" i="19"/>
  <c r="B67" i="19"/>
  <c r="A68" i="19"/>
  <c r="B68" i="19"/>
  <c r="A69" i="19"/>
  <c r="B69" i="19"/>
  <c r="J69" i="19" s="1"/>
  <c r="A70" i="19"/>
  <c r="B70" i="19"/>
  <c r="J70" i="19" s="1"/>
  <c r="A71" i="19"/>
  <c r="B71" i="19"/>
  <c r="J71" i="19" s="1"/>
  <c r="A72" i="19"/>
  <c r="B72" i="19"/>
  <c r="A73" i="19"/>
  <c r="B73" i="19"/>
  <c r="J73" i="19" s="1"/>
  <c r="A74" i="19"/>
  <c r="B74" i="19"/>
  <c r="J74" i="19" s="1"/>
  <c r="A75" i="19"/>
  <c r="B75" i="19"/>
  <c r="J75" i="19" s="1"/>
  <c r="J67" i="19"/>
  <c r="A39" i="19"/>
  <c r="B39" i="19"/>
  <c r="J39" i="19" s="1"/>
  <c r="A40" i="19"/>
  <c r="B40" i="19"/>
  <c r="A41" i="19"/>
  <c r="B41" i="19"/>
  <c r="J41" i="19" s="1"/>
  <c r="A42" i="19"/>
  <c r="B42" i="19"/>
  <c r="J42" i="19" s="1"/>
  <c r="A43" i="19"/>
  <c r="B43" i="19"/>
  <c r="J43" i="19" s="1"/>
  <c r="A44" i="19"/>
  <c r="B44" i="19"/>
  <c r="A45" i="19"/>
  <c r="B45" i="19"/>
  <c r="J45" i="19" s="1"/>
  <c r="A46" i="19"/>
  <c r="B46" i="19"/>
  <c r="J46" i="19" s="1"/>
  <c r="A47" i="19"/>
  <c r="B47" i="19"/>
  <c r="J47" i="19" s="1"/>
  <c r="A48" i="19"/>
  <c r="B48" i="19"/>
  <c r="A49" i="19"/>
  <c r="B49" i="19"/>
  <c r="J49" i="19" s="1"/>
  <c r="A50" i="19"/>
  <c r="B50" i="19"/>
  <c r="J50" i="19" s="1"/>
  <c r="A51" i="19"/>
  <c r="B51" i="19"/>
  <c r="J51" i="19" s="1"/>
  <c r="A52" i="19"/>
  <c r="B52" i="19"/>
  <c r="A53" i="19"/>
  <c r="B53" i="19"/>
  <c r="J53" i="19" s="1"/>
  <c r="A54" i="19"/>
  <c r="B54" i="19"/>
  <c r="J54" i="19" s="1"/>
  <c r="A55" i="19"/>
  <c r="B55" i="19"/>
  <c r="J55" i="19" s="1"/>
  <c r="A56" i="19"/>
  <c r="B56" i="19"/>
  <c r="A57" i="19"/>
  <c r="B57" i="19"/>
  <c r="J57" i="19" s="1"/>
  <c r="A58" i="19"/>
  <c r="B58" i="19"/>
  <c r="J58" i="19" s="1"/>
  <c r="A59" i="19"/>
  <c r="B59" i="19"/>
  <c r="A60" i="19"/>
  <c r="B60" i="19"/>
  <c r="A21" i="19"/>
  <c r="B21" i="19"/>
  <c r="J21" i="19" s="1"/>
  <c r="A22" i="19"/>
  <c r="B22" i="19"/>
  <c r="J22" i="19" s="1"/>
  <c r="A23" i="19"/>
  <c r="B23" i="19"/>
  <c r="A24" i="19"/>
  <c r="B24" i="19"/>
  <c r="J24" i="19" s="1"/>
  <c r="A25" i="19"/>
  <c r="B25" i="19"/>
  <c r="J25" i="19" s="1"/>
  <c r="A26" i="19"/>
  <c r="B26" i="19"/>
  <c r="J26" i="19" s="1"/>
  <c r="A27" i="19"/>
  <c r="B27" i="19"/>
  <c r="J27" i="19" s="1"/>
  <c r="A28" i="19"/>
  <c r="B28" i="19"/>
  <c r="J28" i="19" s="1"/>
  <c r="A29" i="19"/>
  <c r="B29" i="19"/>
  <c r="J29" i="19" s="1"/>
  <c r="A30" i="19"/>
  <c r="B30" i="19"/>
  <c r="J30" i="19" s="1"/>
  <c r="A31" i="19"/>
  <c r="B31" i="19"/>
  <c r="J31" i="19" s="1"/>
  <c r="A32" i="19"/>
  <c r="B32" i="19"/>
  <c r="J32" i="19" s="1"/>
  <c r="A33" i="19"/>
  <c r="B33" i="19"/>
  <c r="J33" i="19" s="1"/>
  <c r="A34" i="19"/>
  <c r="B34" i="19"/>
  <c r="A35" i="19"/>
  <c r="B35" i="19"/>
  <c r="J35" i="19" s="1"/>
  <c r="A36" i="19"/>
  <c r="B36" i="19"/>
  <c r="J36" i="19" s="1"/>
  <c r="B77" i="19"/>
  <c r="J77" i="19" s="1"/>
  <c r="A77" i="19"/>
  <c r="B62" i="19"/>
  <c r="J62" i="19" s="1"/>
  <c r="A62" i="19"/>
  <c r="B38" i="19"/>
  <c r="J38" i="19" s="1"/>
  <c r="A38" i="19"/>
  <c r="B20" i="19"/>
  <c r="A20" i="19"/>
  <c r="B6" i="19"/>
  <c r="J6" i="19" s="1"/>
  <c r="A6" i="19"/>
  <c r="A7" i="19"/>
  <c r="B7" i="19"/>
  <c r="J7" i="19" s="1"/>
  <c r="A8" i="19"/>
  <c r="B8" i="19"/>
  <c r="A9" i="19"/>
  <c r="B9" i="19"/>
  <c r="J9" i="19" s="1"/>
  <c r="A10" i="19"/>
  <c r="B10" i="19"/>
  <c r="J10" i="19" s="1"/>
  <c r="A11" i="19"/>
  <c r="B11" i="19"/>
  <c r="J11" i="19" s="1"/>
  <c r="A12" i="19"/>
  <c r="B12" i="19"/>
  <c r="J12" i="19" s="1"/>
  <c r="A13" i="19"/>
  <c r="B13" i="19"/>
  <c r="A14" i="19"/>
  <c r="B14" i="19"/>
  <c r="J14" i="19" s="1"/>
  <c r="A15" i="19"/>
  <c r="B15" i="19"/>
  <c r="J15" i="19" s="1"/>
  <c r="A16" i="19"/>
  <c r="B16" i="19"/>
  <c r="J16" i="19" s="1"/>
  <c r="A17" i="19"/>
  <c r="B17" i="19"/>
  <c r="A18" i="19"/>
  <c r="B18" i="19"/>
  <c r="J18" i="19" s="1"/>
  <c r="J13" i="19"/>
  <c r="B5" i="19"/>
  <c r="A5" i="19"/>
  <c r="J99" i="19"/>
  <c r="J95" i="19"/>
  <c r="J91" i="19"/>
  <c r="J87" i="19"/>
  <c r="J83" i="19"/>
  <c r="J79" i="19"/>
  <c r="J72" i="19"/>
  <c r="J68" i="19"/>
  <c r="J64" i="19"/>
  <c r="J60" i="19"/>
  <c r="J59" i="19"/>
  <c r="J56" i="19"/>
  <c r="J52" i="19"/>
  <c r="J48" i="19"/>
  <c r="J44" i="19"/>
  <c r="J40" i="19"/>
  <c r="J34" i="19"/>
  <c r="J23" i="19"/>
  <c r="J17" i="19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C64" i="18"/>
  <c r="D63" i="18"/>
  <c r="C63" i="18"/>
  <c r="D62" i="18"/>
  <c r="C62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1" i="18"/>
  <c r="C41" i="18"/>
  <c r="D40" i="18"/>
  <c r="C40" i="18"/>
  <c r="D39" i="18"/>
  <c r="C39" i="18"/>
  <c r="L38" i="18" a="1"/>
  <c r="D38" i="18"/>
  <c r="C38" i="18"/>
  <c r="D36" i="18"/>
  <c r="C36" i="18"/>
  <c r="D35" i="18"/>
  <c r="C35" i="18"/>
  <c r="D34" i="18"/>
  <c r="C34" i="18"/>
  <c r="D33" i="18"/>
  <c r="C33" i="18"/>
  <c r="D32" i="18"/>
  <c r="C32" i="18"/>
  <c r="D31" i="18"/>
  <c r="C31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D24" i="18"/>
  <c r="C24" i="18"/>
  <c r="D23" i="18"/>
  <c r="C23" i="18"/>
  <c r="D21" i="18"/>
  <c r="C21" i="18"/>
  <c r="L20" i="18" a="1"/>
  <c r="P22" i="18" s="1"/>
  <c r="E20" i="18" a="1"/>
  <c r="D20" i="18"/>
  <c r="C20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I41" i="10"/>
  <c r="I44" i="10"/>
  <c r="I45" i="10"/>
  <c r="I46" i="10"/>
  <c r="I47" i="10"/>
  <c r="I48" i="10"/>
  <c r="I49" i="10"/>
  <c r="I50" i="10"/>
  <c r="I51" i="10"/>
  <c r="I52" i="10"/>
  <c r="I53" i="10"/>
  <c r="I54" i="10"/>
  <c r="I42" i="10"/>
  <c r="I43" i="10"/>
  <c r="O64" i="18" l="1"/>
  <c r="Q64" i="18" s="1"/>
  <c r="O65" i="18"/>
  <c r="Q65" i="18" s="1"/>
  <c r="Q63" i="18"/>
  <c r="Q68" i="18"/>
  <c r="O68" i="18"/>
  <c r="H64" i="18"/>
  <c r="J64" i="18" s="1"/>
  <c r="J63" i="18"/>
  <c r="F62" i="18"/>
  <c r="J40" i="18"/>
  <c r="J47" i="18"/>
  <c r="J48" i="18"/>
  <c r="H48" i="18"/>
  <c r="J46" i="18"/>
  <c r="H40" i="18"/>
  <c r="H49" i="18"/>
  <c r="J49" i="18" s="1"/>
  <c r="H41" i="18"/>
  <c r="J41" i="18" s="1"/>
  <c r="J39" i="18"/>
  <c r="H52" i="18"/>
  <c r="J52" i="18" s="1"/>
  <c r="H44" i="18"/>
  <c r="J44" i="18" s="1"/>
  <c r="J30" i="18"/>
  <c r="J22" i="18"/>
  <c r="J28" i="18"/>
  <c r="J26" i="18"/>
  <c r="H23" i="18"/>
  <c r="J23" i="18" s="1"/>
  <c r="J21" i="18"/>
  <c r="H29" i="18"/>
  <c r="J29" i="18" s="1"/>
  <c r="J27" i="18"/>
  <c r="H21" i="18"/>
  <c r="O42" i="18"/>
  <c r="Q42" i="18" s="1"/>
  <c r="M22" i="18"/>
  <c r="N22" i="18"/>
  <c r="M48" i="18"/>
  <c r="D4" i="10"/>
  <c r="J5" i="19"/>
  <c r="H77" i="19" a="1"/>
  <c r="K78" i="19" s="1"/>
  <c r="D27" i="10"/>
  <c r="D11" i="10"/>
  <c r="D34" i="10"/>
  <c r="D26" i="10"/>
  <c r="D18" i="10"/>
  <c r="D10" i="10"/>
  <c r="E10" i="10" s="1"/>
  <c r="D33" i="10"/>
  <c r="D25" i="10"/>
  <c r="D17" i="10"/>
  <c r="D9" i="10"/>
  <c r="D19" i="10"/>
  <c r="J8" i="19"/>
  <c r="D3" i="10"/>
  <c r="D32" i="10"/>
  <c r="D24" i="10"/>
  <c r="D16" i="10"/>
  <c r="D8" i="10"/>
  <c r="D39" i="10"/>
  <c r="D31" i="10"/>
  <c r="D23" i="10"/>
  <c r="D15" i="10"/>
  <c r="D7" i="10"/>
  <c r="D38" i="10"/>
  <c r="D30" i="10"/>
  <c r="D22" i="10"/>
  <c r="D14" i="10"/>
  <c r="D6" i="10"/>
  <c r="D35" i="10"/>
  <c r="D37" i="10"/>
  <c r="D29" i="10"/>
  <c r="D21" i="10"/>
  <c r="D13" i="10"/>
  <c r="D5" i="10"/>
  <c r="D36" i="10"/>
  <c r="D28" i="10"/>
  <c r="D20" i="10"/>
  <c r="D12" i="10"/>
  <c r="H62" i="19" a="1"/>
  <c r="K64" i="19" s="1"/>
  <c r="H38" i="19" a="1"/>
  <c r="H38" i="19" s="1"/>
  <c r="K38" i="19" s="1"/>
  <c r="H5" i="19" a="1"/>
  <c r="H5" i="19" s="1"/>
  <c r="K5" i="19" s="1"/>
  <c r="H77" i="19"/>
  <c r="K77" i="19" s="1"/>
  <c r="J63" i="19"/>
  <c r="H20" i="19" a="1"/>
  <c r="H20" i="19" s="1"/>
  <c r="K20" i="19" s="1"/>
  <c r="J20" i="19"/>
  <c r="M21" i="18"/>
  <c r="M24" i="18"/>
  <c r="M25" i="18"/>
  <c r="M23" i="18"/>
  <c r="M46" i="18"/>
  <c r="M47" i="18"/>
  <c r="M45" i="18"/>
  <c r="M44" i="18"/>
  <c r="M41" i="18"/>
  <c r="M40" i="18"/>
  <c r="M49" i="18"/>
  <c r="M39" i="18"/>
  <c r="M62" i="18"/>
  <c r="N39" i="18"/>
  <c r="N41" i="18"/>
  <c r="N49" i="18"/>
  <c r="L38" i="18"/>
  <c r="M38" i="18" s="1"/>
  <c r="P39" i="18"/>
  <c r="P41" i="18"/>
  <c r="N47" i="18"/>
  <c r="P49" i="18"/>
  <c r="N48" i="18"/>
  <c r="N46" i="18"/>
  <c r="N40" i="18"/>
  <c r="N44" i="18"/>
  <c r="N45" i="18"/>
  <c r="P47" i="18"/>
  <c r="P48" i="18"/>
  <c r="P46" i="18"/>
  <c r="P40" i="18"/>
  <c r="P44" i="18"/>
  <c r="P45" i="18"/>
  <c r="L20" i="18"/>
  <c r="M20" i="18" s="1"/>
  <c r="P21" i="18"/>
  <c r="P24" i="18"/>
  <c r="E20" i="18"/>
  <c r="N24" i="18"/>
  <c r="N23" i="18"/>
  <c r="N25" i="18"/>
  <c r="P23" i="18"/>
  <c r="P25" i="18"/>
  <c r="N21" i="18"/>
  <c r="E21" i="10"/>
  <c r="O22" i="18" l="1"/>
  <c r="H62" i="19"/>
  <c r="K62" i="19" s="1"/>
  <c r="K63" i="19"/>
  <c r="K40" i="19"/>
  <c r="K39" i="19"/>
  <c r="K41" i="19"/>
  <c r="K8" i="19"/>
  <c r="K6" i="19"/>
  <c r="K7" i="19"/>
  <c r="K23" i="19"/>
  <c r="K22" i="19"/>
  <c r="K24" i="19"/>
  <c r="K21" i="19"/>
  <c r="I62" i="18"/>
  <c r="G62" i="18"/>
  <c r="N62" i="18"/>
  <c r="P62" i="18"/>
  <c r="O44" i="18"/>
  <c r="Q44" i="18" s="1"/>
  <c r="O40" i="18"/>
  <c r="Q40" i="18" s="1"/>
  <c r="P38" i="18"/>
  <c r="N38" i="18"/>
  <c r="O48" i="18"/>
  <c r="Q48" i="18" s="1"/>
  <c r="O49" i="18"/>
  <c r="Q49" i="18" s="1"/>
  <c r="O45" i="18"/>
  <c r="Q45" i="18" s="1"/>
  <c r="O41" i="18"/>
  <c r="Q41" i="18" s="1"/>
  <c r="O39" i="18"/>
  <c r="Q39" i="18" s="1"/>
  <c r="G38" i="18"/>
  <c r="I38" i="18"/>
  <c r="O46" i="18"/>
  <c r="Q46" i="18" s="1"/>
  <c r="O47" i="18"/>
  <c r="Q47" i="18" s="1"/>
  <c r="O25" i="18"/>
  <c r="O24" i="18"/>
  <c r="I20" i="18"/>
  <c r="K20" i="18" s="1" a="1"/>
  <c r="K20" i="18" s="1"/>
  <c r="G20" i="18"/>
  <c r="O21" i="18"/>
  <c r="P20" i="18"/>
  <c r="N20" i="18"/>
  <c r="O23" i="18"/>
  <c r="E31" i="10"/>
  <c r="E39" i="10"/>
  <c r="E24" i="10"/>
  <c r="E32" i="10"/>
  <c r="E14" i="10"/>
  <c r="E7" i="10"/>
  <c r="E15" i="10"/>
  <c r="E30" i="10"/>
  <c r="E18" i="10"/>
  <c r="E13" i="10"/>
  <c r="E29" i="10"/>
  <c r="E4" i="10"/>
  <c r="E25" i="10"/>
  <c r="E9" i="10"/>
  <c r="E38" i="10"/>
  <c r="E17" i="10"/>
  <c r="E26" i="10"/>
  <c r="E5" i="10"/>
  <c r="E27" i="10"/>
  <c r="E12" i="10"/>
  <c r="E23" i="10"/>
  <c r="E19" i="10"/>
  <c r="H62" i="18" l="1"/>
  <c r="J62" i="18" s="1"/>
  <c r="O62" i="18"/>
  <c r="H38" i="18"/>
  <c r="J38" i="18" s="1"/>
  <c r="O38" i="18"/>
  <c r="Q38" i="18" s="1"/>
  <c r="O20" i="18"/>
  <c r="H20" i="18"/>
  <c r="J20" i="18" s="1"/>
  <c r="E8" i="10"/>
  <c r="E6" i="10"/>
  <c r="E34" i="10"/>
  <c r="E22" i="10"/>
  <c r="E33" i="10"/>
  <c r="E16" i="10"/>
  <c r="E37" i="10"/>
  <c r="E36" i="10"/>
  <c r="E20" i="10"/>
  <c r="E11" i="10"/>
  <c r="E35" i="10"/>
  <c r="E3" i="10"/>
  <c r="E28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<sst xmlns="http://schemas.openxmlformats.org/spreadsheetml/2006/main" count="811" uniqueCount="286">
  <si>
    <t>Name</t>
  </si>
  <si>
    <t>OrderQty</t>
  </si>
  <si>
    <t>Product</t>
  </si>
  <si>
    <t>ProductID</t>
  </si>
  <si>
    <t>ProductNumber</t>
  </si>
  <si>
    <t>Color</t>
  </si>
  <si>
    <t>StandardCost</t>
  </si>
  <si>
    <t>ListPrice</t>
  </si>
  <si>
    <t>Size</t>
  </si>
  <si>
    <t>Weight</t>
  </si>
  <si>
    <t>ProductLine</t>
  </si>
  <si>
    <t>Style</t>
  </si>
  <si>
    <t>SellStartDate</t>
  </si>
  <si>
    <t>SellEndDate</t>
  </si>
  <si>
    <t>DiscontinuedDate</t>
  </si>
  <si>
    <t>ProductSubcategory</t>
  </si>
  <si>
    <t>ProductSubcategoryID</t>
  </si>
  <si>
    <t>ProductCategory</t>
  </si>
  <si>
    <t>ProductCategoryID</t>
  </si>
  <si>
    <t>UnitMeasure</t>
  </si>
  <si>
    <t>UnitMeasureCode</t>
  </si>
  <si>
    <t>ProductCategoryName</t>
  </si>
  <si>
    <t>UnitSizeName</t>
  </si>
  <si>
    <t>UnitWeightCode</t>
  </si>
  <si>
    <t>UnitWeightName</t>
  </si>
  <si>
    <t>ProductName</t>
  </si>
  <si>
    <t>p.</t>
  </si>
  <si>
    <t>AS</t>
  </si>
  <si>
    <t>,p.</t>
  </si>
  <si>
    <t>,pc.</t>
  </si>
  <si>
    <t>,psc.</t>
  </si>
  <si>
    <t>ProductSubcategoryName</t>
  </si>
  <si>
    <t>ProductColor</t>
  </si>
  <si>
    <t>ProductStyle</t>
  </si>
  <si>
    <t xml:space="preserve">StandardCost </t>
  </si>
  <si>
    <t>ProductSize</t>
  </si>
  <si>
    <t>,pumS.</t>
  </si>
  <si>
    <t>UnitSizeCode</t>
  </si>
  <si>
    <t>ProductWeight</t>
  </si>
  <si>
    <t>,pumW.</t>
  </si>
  <si>
    <t>DiscountinuedDate</t>
  </si>
  <si>
    <t>---- R = Road, M = Mountain, T = Touring, S = Standard</t>
  </si>
  <si>
    <t>---- W = Womens, M = Mens, U = Universal</t>
  </si>
  <si>
    <t>ColumnDescription</t>
  </si>
  <si>
    <t>pc.</t>
  </si>
  <si>
    <t>psc.</t>
  </si>
  <si>
    <t>pumW.</t>
  </si>
  <si>
    <t>pumS.</t>
  </si>
  <si>
    <t xml:space="preserve">CustomerID </t>
  </si>
  <si>
    <t>CustomerPersonID</t>
  </si>
  <si>
    <t>StoreID</t>
  </si>
  <si>
    <t>SalesPersonID</t>
  </si>
  <si>
    <t>TerritoryID</t>
  </si>
  <si>
    <t>PersonType</t>
  </si>
  <si>
    <t>----Primary type of person: SC = Store Contact, IN = Individual (retail) customer, SP = Sales person, EM = Employee (non-sales), VC = Vendor contact, GC = General contact</t>
  </si>
  <si>
    <t>Title</t>
  </si>
  <si>
    <t>FirstName</t>
  </si>
  <si>
    <t>MiddleName</t>
  </si>
  <si>
    <t>LastName</t>
  </si>
  <si>
    <t>StoreName</t>
  </si>
  <si>
    <t>TerritoryName</t>
  </si>
  <si>
    <t>CountryRegionName</t>
  </si>
  <si>
    <t>CountryRegionCode</t>
  </si>
  <si>
    <t>TerritoryGroup</t>
  </si>
  <si>
    <t>c.</t>
  </si>
  <si>
    <t>CustomerID</t>
  </si>
  <si>
    <t>,c.</t>
  </si>
  <si>
    <t>PersonID</t>
  </si>
  <si>
    <t>,s.</t>
  </si>
  <si>
    <t>,st.</t>
  </si>
  <si>
    <t>,cr.</t>
  </si>
  <si>
    <t>[Group]</t>
  </si>
  <si>
    <t>Customer</t>
  </si>
  <si>
    <t>s.</t>
  </si>
  <si>
    <t>Store</t>
  </si>
  <si>
    <t>st.</t>
  </si>
  <si>
    <t>SalesTerritory</t>
  </si>
  <si>
    <t>cr.</t>
  </si>
  <si>
    <t>CountryRegion</t>
  </si>
  <si>
    <t>sp.</t>
  </si>
  <si>
    <t>,em.</t>
  </si>
  <si>
    <t>OrganizationLevel</t>
  </si>
  <si>
    <t>--- The depth of the employee in the corporate hierarchy.</t>
  </si>
  <si>
    <t>JobTitle</t>
  </si>
  <si>
    <t>,sp.</t>
  </si>
  <si>
    <t>SalesQuota</t>
  </si>
  <si>
    <t>--- Projected yearly sales.</t>
  </si>
  <si>
    <t>Bonus</t>
  </si>
  <si>
    <t>--- Bonus due if quota is met.</t>
  </si>
  <si>
    <t>CommissionPct</t>
  </si>
  <si>
    <t>--- Commision percent received per sale.</t>
  </si>
  <si>
    <t>---- Primary type of person: SC = Store Contact, IN = Individual (retail) customer, SP = Sales person, EM = Employee (non-sales), VC = Vendor contact, GC = General contact</t>
  </si>
  <si>
    <t>SalesPerson</t>
  </si>
  <si>
    <t>em.</t>
  </si>
  <si>
    <t>Employee</t>
  </si>
  <si>
    <t>BusinessEntityID</t>
  </si>
  <si>
    <t>ad.</t>
  </si>
  <si>
    <t>AddressID</t>
  </si>
  <si>
    <t>StateProvinceID</t>
  </si>
  <si>
    <t>,ad.</t>
  </si>
  <si>
    <t>AddressLine1</t>
  </si>
  <si>
    <t>AddressLine</t>
  </si>
  <si>
    <t>City</t>
  </si>
  <si>
    <t>PostalCode</t>
  </si>
  <si>
    <t>StateProvinceName</t>
  </si>
  <si>
    <t>StateProvinceCode</t>
  </si>
  <si>
    <t>Address</t>
  </si>
  <si>
    <t>,spr.</t>
  </si>
  <si>
    <t>spr.</t>
  </si>
  <si>
    <t>StateProvince</t>
  </si>
  <si>
    <t>FactSales</t>
  </si>
  <si>
    <t>DimAddress</t>
  </si>
  <si>
    <t>DimCustomer</t>
  </si>
  <si>
    <t>DimSalesPerson</t>
  </si>
  <si>
    <t>DimProduct</t>
  </si>
  <si>
    <t>soh.</t>
  </si>
  <si>
    <t>SalesOrderHeader</t>
  </si>
  <si>
    <t>SalesOrderDetail</t>
  </si>
  <si>
    <t>SalesOrderNumber</t>
  </si>
  <si>
    <t>---- Unique sales order identification number.</t>
  </si>
  <si>
    <t>,soh.</t>
  </si>
  <si>
    <t>SalesOrderID</t>
  </si>
  <si>
    <t>,sod.</t>
  </si>
  <si>
    <t>SalesOrderDetailID</t>
  </si>
  <si>
    <t>SpecialOfferID</t>
  </si>
  <si>
    <t>ShipToAddressID</t>
  </si>
  <si>
    <t>CurrencyRateID</t>
  </si>
  <si>
    <t>OrderDate</t>
  </si>
  <si>
    <t>DueDate</t>
  </si>
  <si>
    <t>---- Date the order is due to the customer.</t>
  </si>
  <si>
    <t>ShipDate</t>
  </si>
  <si>
    <t>---- Date the order was shipped to the customer.</t>
  </si>
  <si>
    <t>Status</t>
  </si>
  <si>
    <t>---- Order current status. 1 = In process; 2 = Approved; 3 = Backordered; 4 = Rejected; 5 = Shipped; 6 = Cancelled</t>
  </si>
  <si>
    <t>OnlineOrderFlag</t>
  </si>
  <si>
    <t>---- 0 = Order placed by sales person. 1 = Order placed online by customer.</t>
  </si>
  <si>
    <t>SubTotal</t>
  </si>
  <si>
    <t xml:space="preserve">OrderSubTotal </t>
  </si>
  <si>
    <t>TaxAmt</t>
  </si>
  <si>
    <t>OrderTaxAmt</t>
  </si>
  <si>
    <t>Freight</t>
  </si>
  <si>
    <t>OrderFreight</t>
  </si>
  <si>
    <t>TotalDue</t>
  </si>
  <si>
    <t>OrderTotalDue</t>
  </si>
  <si>
    <t>LineOrderQty</t>
  </si>
  <si>
    <t>UnitPrice</t>
  </si>
  <si>
    <t>UnitPriceDiscount</t>
  </si>
  <si>
    <t>LineTotal</t>
  </si>
  <si>
    <t>sod.</t>
  </si>
  <si>
    <t>---- Dates the sales order was created.</t>
  </si>
  <si>
    <t>SchemaName</t>
  </si>
  <si>
    <t>Sales</t>
  </si>
  <si>
    <t>SalesTaxRate</t>
  </si>
  <si>
    <t>Person</t>
  </si>
  <si>
    <t>Production</t>
  </si>
  <si>
    <t>SalesTerritoryHistory</t>
  </si>
  <si>
    <t>ScrapReason</t>
  </si>
  <si>
    <t>HumanResources</t>
  </si>
  <si>
    <t>Purchasing</t>
  </si>
  <si>
    <t>SpecialOffer</t>
  </si>
  <si>
    <t>ProductListPriceHistory</t>
  </si>
  <si>
    <t>SpecialOfferProduct</t>
  </si>
  <si>
    <t>ProductModel</t>
  </si>
  <si>
    <t>AddressType</t>
  </si>
  <si>
    <t>ProductReview</t>
  </si>
  <si>
    <t>BusinessEntity</t>
  </si>
  <si>
    <t>TransactionHistoryArchive</t>
  </si>
  <si>
    <t>BusinessEntityAddress</t>
  </si>
  <si>
    <t>ProductVendor</t>
  </si>
  <si>
    <t>BusinessEntityContact</t>
  </si>
  <si>
    <t>Vendor</t>
  </si>
  <si>
    <t>CountryRegionCurrency</t>
  </si>
  <si>
    <t>PurchaseOrderDetail</t>
  </si>
  <si>
    <t>Currency</t>
  </si>
  <si>
    <t>PurchaseOrderHeader</t>
  </si>
  <si>
    <t>CurrencyRate</t>
  </si>
  <si>
    <t>Location</t>
  </si>
  <si>
    <t xml:space="preserve">TableName </t>
  </si>
  <si>
    <t>OLTP Table Name</t>
  </si>
  <si>
    <t>OLTP Schema Name</t>
  </si>
  <si>
    <t>OLTP Table Abbr.</t>
  </si>
  <si>
    <t>OLTP ColumnName</t>
  </si>
  <si>
    <t>DWH AliasColumnName</t>
  </si>
  <si>
    <t xml:space="preserve">Output </t>
  </si>
  <si>
    <t>Output Columns Declaration Expression</t>
  </si>
  <si>
    <t>Output Table Declaration Expression</t>
  </si>
  <si>
    <t>Unique Used Tables</t>
  </si>
  <si>
    <t>Table Abbrev.</t>
  </si>
  <si>
    <t xml:space="preserve">IsUsed in DWH </t>
  </si>
  <si>
    <t>Derived from OLTP Tables</t>
  </si>
  <si>
    <t>Derived from DWH Tables</t>
  </si>
  <si>
    <t>Input: DWH Tables</t>
  </si>
  <si>
    <t>Input: OLTP Tables</t>
  </si>
  <si>
    <t>Output: DWH Used Tables</t>
  </si>
  <si>
    <t>prs.</t>
  </si>
  <si>
    <t>,prs.</t>
  </si>
  <si>
    <t>LastModifiedDate</t>
  </si>
  <si>
    <t>ValidityDate_Start</t>
  </si>
  <si>
    <t>ValidityDate_End</t>
  </si>
  <si>
    <t>SCD Type</t>
  </si>
  <si>
    <t>Fixed</t>
  </si>
  <si>
    <t>Attributes Definition</t>
  </si>
  <si>
    <t>SCD 1 Generator</t>
  </si>
  <si>
    <t>Column</t>
  </si>
  <si>
    <t>Unique Column</t>
  </si>
  <si>
    <t>SCD 2 Generator</t>
  </si>
  <si>
    <t>SCD Type input</t>
  </si>
  <si>
    <t>[CustomerID] [int] NOT NULL,</t>
  </si>
  <si>
    <t>[CustomerPersonID] [int] NULL,</t>
  </si>
  <si>
    <t>[StoreID] [int] NULL,</t>
  </si>
  <si>
    <t>[SalesPersonID] [int] NULL,</t>
  </si>
  <si>
    <t>[TerritoryID] [int] NULL,</t>
  </si>
  <si>
    <t>[Title] [nvarchar](16) NULL,</t>
  </si>
  <si>
    <t>[MiddleName] [nvarchar](100) NULL,</t>
  </si>
  <si>
    <t>[ValidityDate_Start] [datetime] NULL,</t>
  </si>
  <si>
    <t>[ValidityDate_End] [datetime] NULL,</t>
  </si>
  <si>
    <t>[SalesOrderNumber] [nvarchar](50) NOT NULL,</t>
  </si>
  <si>
    <t>[ProductID] [int] NOT NULL,</t>
  </si>
  <si>
    <t>[CurrencyRateID] [int] NULL,</t>
  </si>
  <si>
    <t>[ShipDate] [datetime] NULL,</t>
  </si>
  <si>
    <t>[LastModifiedDate] [datetime] NULL,</t>
  </si>
  <si>
    <t>[AddressID] [int] NOT NULL,</t>
  </si>
  <si>
    <t>[ProductColor] [nvarchar](30) NULL,</t>
  </si>
  <si>
    <t>[ProductStyle] [nchar](4) NULL,</t>
  </si>
  <si>
    <t>[ProductLine] [nchar](4) NULL,</t>
  </si>
  <si>
    <t>[ProductSize] [nvarchar](10) NULL,</t>
  </si>
  <si>
    <t>[ProductWeight] [decimal](8, 2) NULL,</t>
  </si>
  <si>
    <t>[SellEndDate] [datetime] NULL,</t>
  </si>
  <si>
    <t>[DiscountinuedDate] [datetime] NULL,</t>
  </si>
  <si>
    <t>[SalesPersonID] [int] NOT NULL,</t>
  </si>
  <si>
    <t>[OrganizationLevel] [smallint] NULL,</t>
  </si>
  <si>
    <t>[SalesQuota] [money] NULL,</t>
  </si>
  <si>
    <t>#Temp Table Fileds</t>
  </si>
  <si>
    <t>@SCD1_UpdateStatement</t>
  </si>
  <si>
    <t>@StgAttributes</t>
  </si>
  <si>
    <t>@DimAttributes</t>
  </si>
  <si>
    <t>@SCD1_Filter</t>
  </si>
  <si>
    <t>@SCD2_Filter</t>
  </si>
  <si>
    <t>[StateProvinceID] [int] NULL,</t>
  </si>
  <si>
    <t>[AddressLine] [nvarchar](120) NULL,</t>
  </si>
  <si>
    <t>[City] [nvarchar](60) NULL,</t>
  </si>
  <si>
    <t>[PostalCode] [nvarchar](30) NULL,</t>
  </si>
  <si>
    <t>[StateProvinceName] [nvarchar](100) NULL,</t>
  </si>
  <si>
    <t>[StateProvinceCode] [nchar](6) NULL,</t>
  </si>
  <si>
    <t>[TerritoryName] [nvarchar](100) NULL,</t>
  </si>
  <si>
    <t>[CountryRegionName] [nvarchar](100) NULL,</t>
  </si>
  <si>
    <t>[CountryRegionCode] [nvarchar](6) NULL,</t>
  </si>
  <si>
    <t>[TerritoryGroup] [nvarchar](100) NULL,</t>
  </si>
  <si>
    <t>[PersonType] [nchar](4) NULL,</t>
  </si>
  <si>
    <t>[FirstName] [nvarchar](100) NULL,</t>
  </si>
  <si>
    <t>[LastName] [nvarchar](100) NULL,</t>
  </si>
  <si>
    <t>[StoreName] [nvarchar](100) NULL,</t>
  </si>
  <si>
    <t>[ProductID] [int] NULL,</t>
  </si>
  <si>
    <t>[ProductCategoryID] [int] NULL,</t>
  </si>
  <si>
    <t>[ProductSubcategoryID] [int] NULL,</t>
  </si>
  <si>
    <t>[UnitSizeCode] [nchar](6) NULL,</t>
  </si>
  <si>
    <t>[UnitWeightCode] [nchar](6) NULL,</t>
  </si>
  <si>
    <t>[ProductName] [nvarchar](100) NULL,</t>
  </si>
  <si>
    <t>[ProductCategoryName] [nvarchar](100) NULL,</t>
  </si>
  <si>
    <t>[ProductSubcategoryName] [nvarchar](100) NULL,</t>
  </si>
  <si>
    <t>[StandardCost] [money] NULL,</t>
  </si>
  <si>
    <t>[ListPrice] [money] NULL,</t>
  </si>
  <si>
    <t>[UnitSizeName] [nvarchar](100) NULL,</t>
  </si>
  <si>
    <t>[UnitWeightName] [nvarchar](100) NULL,</t>
  </si>
  <si>
    <t>[SellStartDate] [datetime] NULL,</t>
  </si>
  <si>
    <t>[JobTitle] [nvarchar](100) NULL,</t>
  </si>
  <si>
    <t>[Bonus] [money] NULL,</t>
  </si>
  <si>
    <t>[CommissionPct] [smallmoney] NULL,</t>
  </si>
  <si>
    <t>[SalesOrderID] [int] NULL,</t>
  </si>
  <si>
    <t>[SalesOrderDetailID] [int] NULL,</t>
  </si>
  <si>
    <t>[CustomerID] [int] NULL,</t>
  </si>
  <si>
    <t>[SpecialOfferID] [int] NULL,</t>
  </si>
  <si>
    <t>[ShipToAddressID] [int] NULL,</t>
  </si>
  <si>
    <t>[OrderDate] [datetime] NULL,</t>
  </si>
  <si>
    <t>[DueDate] [datetime] NULL,</t>
  </si>
  <si>
    <t>[Status] [tinyint] NULL,</t>
  </si>
  <si>
    <t>[OnlineOrderFlag] [bit] NULL,</t>
  </si>
  <si>
    <t>[OrderSubTotal] [money] NULL,</t>
  </si>
  <si>
    <t>[OrderTaxAmt] [money] NULL,</t>
  </si>
  <si>
    <t>[OrderFreight] [money] NULL,</t>
  </si>
  <si>
    <t>[OrderTotalDue] [money] NULL,</t>
  </si>
  <si>
    <t>[LineOrderQty] [smallint] NULL,</t>
  </si>
  <si>
    <t>[UnitPrice] [money] NULL,</t>
  </si>
  <si>
    <t>[UnitPriceDiscount] [money] NULL,</t>
  </si>
  <si>
    <t>[LineTotal] [numeric](38, 6) NULL,</t>
  </si>
  <si>
    <t>[ProductNumber] [nvarchar](50) 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</si>
</sst>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95A2F"/>
        <bgColor indexed="64"/>
      </patternFill>
    </fill>
    <fill>
      <patternFill patternType="solid">
        <fgColor rgb="FFEF3907"/>
        <bgColor indexed="64"/>
      </patternFill>
    </fill>
    <fill>
      <patternFill patternType="solid">
        <fgColor rgb="FFD0CAA0"/>
        <bgColor indexed="64"/>
      </patternFill>
    </fill>
    <fill>
      <patternFill patternType="solid">
        <fgColor rgb="FF39BBEF"/>
        <bgColor indexed="64"/>
      </patternFill>
    </fill>
    <fill>
      <patternFill patternType="solid">
        <fgColor rgb="FF79BD88"/>
        <bgColor indexed="64"/>
      </patternFill>
    </fill>
    <fill>
      <patternFill patternType="solid">
        <fgColor rgb="FF987EB8"/>
        <bgColor indexed="64"/>
      </patternFill>
    </fill>
    <fill>
      <patternFill patternType="solid">
        <fgColor rgb="FFA4CCB4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1" xfId="0" applyBorder="1"/>
    <xf numFmtId="0" fontId="0" fillId="0" borderId="4" xfId="0" applyBorder="1"/>
    <xf numFmtId="0" fontId="1" fillId="2" borderId="1" xfId="0" applyFont="1" applyFill="1" applyBorder="1"/>
    <xf numFmtId="0" fontId="1" fillId="0" borderId="0" xfId="0" applyFont="1"/>
    <xf numFmtId="0" fontId="3" fillId="0" borderId="0" xfId="0" applyFont="1"/>
    <xf numFmtId="0" fontId="0" fillId="0" borderId="12" xfId="0" applyBorder="1"/>
    <xf numFmtId="0" fontId="0" fillId="0" borderId="13" xfId="0" applyBorder="1"/>
    <xf numFmtId="49" fontId="0" fillId="0" borderId="13" xfId="0" applyNumberFormat="1" applyBorder="1" applyAlignment="1">
      <alignment wrapText="1"/>
    </xf>
    <xf numFmtId="49" fontId="0" fillId="0" borderId="13" xfId="0" quotePrefix="1" applyNumberFormat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9" xfId="0" applyBorder="1"/>
    <xf numFmtId="49" fontId="0" fillId="0" borderId="26" xfId="0" applyNumberFormat="1" applyBorder="1" applyAlignment="1">
      <alignment wrapText="1"/>
    </xf>
    <xf numFmtId="0" fontId="1" fillId="0" borderId="0" xfId="0" applyFont="1" applyAlignment="1">
      <alignment vertic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15" xfId="0" applyFont="1" applyFill="1" applyBorder="1"/>
    <xf numFmtId="0" fontId="1" fillId="0" borderId="1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9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23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33" xfId="0" applyFont="1" applyBorder="1" applyAlignment="1">
      <alignment wrapText="1"/>
    </xf>
    <xf numFmtId="0" fontId="1" fillId="0" borderId="38" xfId="0" applyFont="1" applyBorder="1" applyAlignment="1">
      <alignment horizontal="left" vertical="center"/>
    </xf>
    <xf numFmtId="0" fontId="1" fillId="0" borderId="10" xfId="0" applyFont="1" applyBorder="1" applyAlignment="1">
      <alignment wrapText="1"/>
    </xf>
    <xf numFmtId="0" fontId="1" fillId="0" borderId="40" xfId="0" applyFont="1" applyBorder="1" applyAlignment="1">
      <alignment horizontal="left" vertical="center"/>
    </xf>
    <xf numFmtId="0" fontId="1" fillId="0" borderId="11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1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3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1" fillId="0" borderId="29" xfId="0" applyFont="1" applyBorder="1" applyAlignment="1">
      <alignment horizontal="left" vertical="center"/>
    </xf>
    <xf numFmtId="0" fontId="1" fillId="0" borderId="41" xfId="0" applyFont="1" applyBorder="1" applyAlignment="1">
      <alignment wrapText="1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wrapText="1"/>
    </xf>
    <xf numFmtId="0" fontId="1" fillId="0" borderId="21" xfId="0" applyFont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5" borderId="28" xfId="0" applyFont="1" applyFill="1" applyBorder="1"/>
    <xf numFmtId="0" fontId="1" fillId="5" borderId="28" xfId="0" applyFont="1" applyFill="1" applyBorder="1"/>
    <xf numFmtId="0" fontId="4" fillId="5" borderId="30" xfId="0" applyFont="1" applyFill="1" applyBorder="1"/>
    <xf numFmtId="0" fontId="4" fillId="5" borderId="31" xfId="0" applyFont="1" applyFill="1" applyBorder="1"/>
    <xf numFmtId="0" fontId="4" fillId="5" borderId="32" xfId="0" applyFont="1" applyFill="1" applyBorder="1"/>
    <xf numFmtId="0" fontId="4" fillId="3" borderId="4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0" fillId="3" borderId="27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left" vertical="center"/>
    </xf>
    <xf numFmtId="0" fontId="1" fillId="6" borderId="25" xfId="0" applyFont="1" applyFill="1" applyBorder="1"/>
    <xf numFmtId="0" fontId="1" fillId="6" borderId="12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4" fillId="4" borderId="12" xfId="0" applyFont="1" applyFill="1" applyBorder="1"/>
    <xf numFmtId="0" fontId="4" fillId="4" borderId="13" xfId="0" applyFont="1" applyFill="1" applyBorder="1"/>
    <xf numFmtId="0" fontId="4" fillId="3" borderId="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25" xfId="0" applyFont="1" applyBorder="1"/>
    <xf numFmtId="0" fontId="1" fillId="0" borderId="26" xfId="0" applyFont="1" applyBorder="1"/>
    <xf numFmtId="0" fontId="1" fillId="6" borderId="1" xfId="0" applyFont="1" applyFill="1" applyBorder="1"/>
    <xf numFmtId="0" fontId="1" fillId="6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33" xfId="0" applyFont="1" applyFill="1" applyBorder="1" applyAlignment="1">
      <alignment horizontal="left" vertical="center"/>
    </xf>
    <xf numFmtId="0" fontId="1" fillId="6" borderId="36" xfId="0" applyFont="1" applyFill="1" applyBorder="1" applyAlignment="1">
      <alignment horizontal="left" vertical="center"/>
    </xf>
    <xf numFmtId="0" fontId="1" fillId="6" borderId="37" xfId="0" applyFont="1" applyFill="1" applyBorder="1" applyAlignment="1">
      <alignment horizontal="left" vertical="center"/>
    </xf>
    <xf numFmtId="0" fontId="1" fillId="6" borderId="35" xfId="0" applyFont="1" applyFill="1" applyBorder="1" applyAlignment="1">
      <alignment horizontal="left" vertical="center"/>
    </xf>
    <xf numFmtId="0" fontId="4" fillId="9" borderId="28" xfId="0" applyFont="1" applyFill="1" applyBorder="1"/>
    <xf numFmtId="0" fontId="1" fillId="9" borderId="28" xfId="0" applyFont="1" applyFill="1" applyBorder="1"/>
    <xf numFmtId="0" fontId="4" fillId="9" borderId="30" xfId="0" applyFont="1" applyFill="1" applyBorder="1"/>
    <xf numFmtId="0" fontId="4" fillId="9" borderId="31" xfId="0" applyFont="1" applyFill="1" applyBorder="1"/>
    <xf numFmtId="0" fontId="4" fillId="9" borderId="32" xfId="0" applyFont="1" applyFill="1" applyBorder="1"/>
    <xf numFmtId="0" fontId="4" fillId="9" borderId="12" xfId="0" applyFont="1" applyFill="1" applyBorder="1"/>
    <xf numFmtId="0" fontId="1" fillId="9" borderId="13" xfId="0" applyFont="1" applyFill="1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18" xfId="0" applyBorder="1"/>
    <xf numFmtId="0" fontId="1" fillId="0" borderId="10" xfId="0" applyFont="1" applyBorder="1"/>
    <xf numFmtId="0" fontId="1" fillId="0" borderId="11" xfId="0" applyFont="1" applyBorder="1"/>
    <xf numFmtId="0" fontId="1" fillId="0" borderId="41" xfId="0" applyFont="1" applyBorder="1"/>
    <xf numFmtId="0" fontId="1" fillId="0" borderId="43" xfId="0" applyFont="1" applyBorder="1"/>
    <xf numFmtId="0" fontId="1" fillId="6" borderId="33" xfId="0" applyFont="1" applyFill="1" applyBorder="1" applyAlignment="1">
      <alignment wrapText="1"/>
    </xf>
    <xf numFmtId="0" fontId="1" fillId="6" borderId="34" xfId="0" applyFont="1" applyFill="1" applyBorder="1" applyAlignment="1">
      <alignment wrapText="1"/>
    </xf>
    <xf numFmtId="0" fontId="1" fillId="6" borderId="34" xfId="0" applyFont="1" applyFill="1" applyBorder="1"/>
    <xf numFmtId="0" fontId="1" fillId="6" borderId="35" xfId="0" applyFont="1" applyFill="1" applyBorder="1"/>
    <xf numFmtId="0" fontId="1" fillId="6" borderId="35" xfId="0" applyFont="1" applyFill="1" applyBorder="1" applyAlignment="1">
      <alignment wrapText="1"/>
    </xf>
    <xf numFmtId="0" fontId="1" fillId="6" borderId="33" xfId="0" applyFont="1" applyFill="1" applyBorder="1"/>
    <xf numFmtId="0" fontId="0" fillId="0" borderId="45" xfId="0" applyBorder="1"/>
    <xf numFmtId="0" fontId="0" fillId="0" borderId="46" xfId="0" applyBorder="1"/>
    <xf numFmtId="49" fontId="0" fillId="0" borderId="46" xfId="0" applyNumberFormat="1" applyBorder="1" applyAlignment="1">
      <alignment wrapText="1"/>
    </xf>
    <xf numFmtId="0" fontId="1" fillId="6" borderId="44" xfId="0" applyFont="1" applyFill="1" applyBorder="1" applyAlignment="1">
      <alignment wrapText="1"/>
    </xf>
    <xf numFmtId="0" fontId="1" fillId="6" borderId="36" xfId="0" applyFont="1" applyFill="1" applyBorder="1" applyAlignment="1">
      <alignment wrapText="1"/>
    </xf>
    <xf numFmtId="0" fontId="1" fillId="6" borderId="10" xfId="0" applyFont="1" applyFill="1" applyBorder="1"/>
    <xf numFmtId="0" fontId="1" fillId="6" borderId="41" xfId="0" applyFont="1" applyFill="1" applyBorder="1"/>
    <xf numFmtId="0" fontId="0" fillId="3" borderId="8" xfId="0" applyFill="1" applyBorder="1" applyAlignment="1">
      <alignment horizontal="left" vertical="center"/>
    </xf>
    <xf numFmtId="0" fontId="1" fillId="6" borderId="45" xfId="0" applyFont="1" applyFill="1" applyBorder="1"/>
    <xf numFmtId="0" fontId="1" fillId="2" borderId="38" xfId="0" applyFont="1" applyFill="1" applyBorder="1"/>
    <xf numFmtId="0" fontId="1" fillId="2" borderId="50" xfId="0" applyFont="1" applyFill="1" applyBorder="1"/>
    <xf numFmtId="0" fontId="0" fillId="0" borderId="41" xfId="0" applyBorder="1"/>
    <xf numFmtId="0" fontId="0" fillId="3" borderId="51" xfId="0" applyFill="1" applyBorder="1" applyAlignment="1">
      <alignment horizontal="left" vertical="center"/>
    </xf>
    <xf numFmtId="0" fontId="0" fillId="0" borderId="10" xfId="0" applyBorder="1"/>
    <xf numFmtId="0" fontId="0" fillId="3" borderId="52" xfId="0" applyFill="1" applyBorder="1"/>
    <xf numFmtId="0" fontId="1" fillId="6" borderId="36" xfId="0" applyFont="1" applyFill="1" applyBorder="1"/>
    <xf numFmtId="0" fontId="1" fillId="0" borderId="20" xfId="0" applyFont="1" applyBorder="1" applyAlignment="1">
      <alignment wrapText="1"/>
    </xf>
    <xf numFmtId="0" fontId="1" fillId="6" borderId="44" xfId="0" applyFont="1" applyFill="1" applyBorder="1"/>
    <xf numFmtId="0" fontId="1" fillId="2" borderId="31" xfId="0" applyFont="1" applyFill="1" applyBorder="1" applyAlignment="1">
      <alignment wrapText="1"/>
    </xf>
    <xf numFmtId="0" fontId="1" fillId="6" borderId="38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left" vertical="center"/>
    </xf>
    <xf numFmtId="0" fontId="1" fillId="2" borderId="28" xfId="0" applyFont="1" applyFill="1" applyBorder="1"/>
    <xf numFmtId="0" fontId="4" fillId="5" borderId="32" xfId="0" quotePrefix="1" applyFont="1" applyFill="1" applyBorder="1"/>
    <xf numFmtId="0" fontId="4" fillId="8" borderId="49" xfId="0" quotePrefix="1" applyFont="1" applyFill="1" applyBorder="1"/>
    <xf numFmtId="0" fontId="4" fillId="8" borderId="48" xfId="0" quotePrefix="1" applyFont="1" applyFill="1" applyBorder="1"/>
    <xf numFmtId="0" fontId="4" fillId="9" borderId="32" xfId="0" quotePrefix="1" applyFont="1" applyFill="1" applyBorder="1"/>
    <xf numFmtId="0" fontId="1" fillId="0" borderId="0" xfId="0" applyFont="1" applyAlignment="1">
      <alignment horizontal="left" vertical="center"/>
    </xf>
    <xf numFmtId="0" fontId="1" fillId="0" borderId="50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vertical="top" wrapText="1"/>
    </xf>
    <xf numFmtId="0" fontId="1" fillId="0" borderId="24" xfId="0" applyFont="1" applyBorder="1" applyAlignment="1">
      <alignment wrapText="1"/>
    </xf>
    <xf numFmtId="0" fontId="4" fillId="3" borderId="1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left" vertical="top" wrapText="1"/>
    </xf>
    <xf numFmtId="0" fontId="1" fillId="6" borderId="47" xfId="0" applyFont="1" applyFill="1" applyBorder="1" applyAlignment="1">
      <alignment horizontal="left" vertical="top" wrapText="1"/>
    </xf>
    <xf numFmtId="0" fontId="1" fillId="6" borderId="37" xfId="0" applyFont="1" applyFill="1" applyBorder="1" applyAlignment="1">
      <alignment horizontal="left" vertical="top" wrapText="1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AA0"/>
      <color rgb="FFA4CCB4"/>
      <color rgb="FF79BD88"/>
      <color rgb="FF987EB8"/>
      <color rgb="FFA3CDA4"/>
      <color rgb="FF39BBEF"/>
      <color rgb="FF3D73EB"/>
      <color rgb="FFF54B4B"/>
      <color rgb="FF8CF587"/>
      <color rgb="FFFFD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C880-1AAF-4A20-AC67-35962FF4B27C}">
  <dimension ref="A1:I54"/>
  <sheetViews>
    <sheetView zoomScale="85" zoomScaleNormal="85" workbookViewId="0">
      <selection activeCell="G17" sqref="G17"/>
    </sheetView>
  </sheetViews>
  <sheetFormatPr defaultColWidth="11.5546875" defaultRowHeight="14.4" x14ac:dyDescent="0.3"/>
  <cols>
    <col min="1" max="3" width="35" customWidth="1"/>
    <col min="6" max="6" width="16.88671875" style="4" customWidth="1"/>
    <col min="8" max="8" width="17.21875" customWidth="1"/>
  </cols>
  <sheetData>
    <row r="1" spans="1:6" ht="18" x14ac:dyDescent="0.35">
      <c r="A1" s="128" t="s">
        <v>192</v>
      </c>
      <c r="B1" s="129"/>
      <c r="C1" s="132" t="s">
        <v>193</v>
      </c>
      <c r="D1" s="133"/>
      <c r="E1" s="134"/>
      <c r="F1" s="5"/>
    </row>
    <row r="2" spans="1:6" x14ac:dyDescent="0.3">
      <c r="A2" s="3" t="s">
        <v>150</v>
      </c>
      <c r="B2" s="3" t="s">
        <v>177</v>
      </c>
      <c r="C2" s="3" t="s">
        <v>187</v>
      </c>
      <c r="D2" s="130" t="s">
        <v>188</v>
      </c>
      <c r="E2" s="131"/>
    </row>
    <row r="3" spans="1:6" x14ac:dyDescent="0.3">
      <c r="A3" s="66" t="s">
        <v>157</v>
      </c>
      <c r="B3" s="66" t="s">
        <v>94</v>
      </c>
      <c r="C3" s="66" t="s">
        <v>93</v>
      </c>
      <c r="D3" s="67" t="b">
        <f>COUNTIF('DWH Tables Metadata'!$B$5:$B$99,B3)&gt;0</f>
        <v>1</v>
      </c>
      <c r="E3" s="66" t="str">
        <f t="shared" ref="E3:E39" si="0">IF(D3=TRUE,"Used","Not Used")</f>
        <v>Used</v>
      </c>
    </row>
    <row r="4" spans="1:6" x14ac:dyDescent="0.3">
      <c r="A4" s="1" t="s">
        <v>153</v>
      </c>
      <c r="B4" s="1" t="s">
        <v>163</v>
      </c>
      <c r="C4" s="68"/>
      <c r="D4" s="69" t="b">
        <f>COUNTIF('DWH Tables Metadata'!$B$5:$B$99,B4)&gt;0</f>
        <v>0</v>
      </c>
      <c r="E4" s="1" t="str">
        <f t="shared" si="0"/>
        <v>Not Used</v>
      </c>
    </row>
    <row r="5" spans="1:6" x14ac:dyDescent="0.3">
      <c r="A5" s="1" t="s">
        <v>153</v>
      </c>
      <c r="B5" s="1" t="s">
        <v>165</v>
      </c>
      <c r="C5" s="68"/>
      <c r="D5" s="69" t="b">
        <f>COUNTIF('DWH Tables Metadata'!$B$5:$B$99,B5)&gt;0</f>
        <v>0</v>
      </c>
      <c r="E5" s="1" t="str">
        <f t="shared" si="0"/>
        <v>Not Used</v>
      </c>
    </row>
    <row r="6" spans="1:6" x14ac:dyDescent="0.3">
      <c r="A6" s="66" t="s">
        <v>153</v>
      </c>
      <c r="B6" s="66" t="s">
        <v>106</v>
      </c>
      <c r="C6" s="66" t="s">
        <v>96</v>
      </c>
      <c r="D6" s="67" t="b">
        <f>COUNTIF('DWH Tables Metadata'!$B$5:$B$99,B6)&gt;0</f>
        <v>1</v>
      </c>
      <c r="E6" s="66" t="str">
        <f t="shared" si="0"/>
        <v>Used</v>
      </c>
    </row>
    <row r="7" spans="1:6" x14ac:dyDescent="0.3">
      <c r="A7" s="1" t="s">
        <v>153</v>
      </c>
      <c r="B7" s="1" t="s">
        <v>167</v>
      </c>
      <c r="C7" s="68"/>
      <c r="D7" s="69" t="b">
        <f>COUNTIF('DWH Tables Metadata'!$B$5:$B$99,B7)&gt;0</f>
        <v>0</v>
      </c>
      <c r="E7" s="1" t="str">
        <f t="shared" si="0"/>
        <v>Not Used</v>
      </c>
    </row>
    <row r="8" spans="1:6" x14ac:dyDescent="0.3">
      <c r="A8" s="66" t="s">
        <v>153</v>
      </c>
      <c r="B8" s="66" t="s">
        <v>109</v>
      </c>
      <c r="C8" s="66" t="s">
        <v>108</v>
      </c>
      <c r="D8" s="67" t="b">
        <f>COUNTIF('DWH Tables Metadata'!$B$5:$B$99,B8)&gt;0</f>
        <v>1</v>
      </c>
      <c r="E8" s="66" t="str">
        <f t="shared" si="0"/>
        <v>Used</v>
      </c>
    </row>
    <row r="9" spans="1:6" x14ac:dyDescent="0.3">
      <c r="A9" s="1" t="s">
        <v>153</v>
      </c>
      <c r="B9" s="1" t="s">
        <v>169</v>
      </c>
      <c r="C9" s="68"/>
      <c r="D9" s="69" t="b">
        <f>COUNTIF('DWH Tables Metadata'!$B$5:$B$99,B9)&gt;0</f>
        <v>0</v>
      </c>
      <c r="E9" s="1" t="str">
        <f t="shared" si="0"/>
        <v>Not Used</v>
      </c>
    </row>
    <row r="10" spans="1:6" x14ac:dyDescent="0.3">
      <c r="A10" s="66" t="s">
        <v>153</v>
      </c>
      <c r="B10" s="66" t="s">
        <v>153</v>
      </c>
      <c r="C10" s="66" t="s">
        <v>194</v>
      </c>
      <c r="D10" s="67" t="b">
        <f>COUNTIF('DWH Tables Metadata'!$B$5:$B$99,B10)&gt;0</f>
        <v>1</v>
      </c>
      <c r="E10" s="66" t="str">
        <f t="shared" si="0"/>
        <v>Used</v>
      </c>
    </row>
    <row r="11" spans="1:6" x14ac:dyDescent="0.3">
      <c r="A11" s="66" t="s">
        <v>153</v>
      </c>
      <c r="B11" s="66" t="s">
        <v>78</v>
      </c>
      <c r="C11" s="66" t="s">
        <v>77</v>
      </c>
      <c r="D11" s="67" t="b">
        <f>COUNTIF('DWH Tables Metadata'!$B$5:$B$99,B11)&gt;0</f>
        <v>1</v>
      </c>
      <c r="E11" s="66" t="str">
        <f t="shared" si="0"/>
        <v>Used</v>
      </c>
    </row>
    <row r="12" spans="1:6" x14ac:dyDescent="0.3">
      <c r="A12" s="1" t="s">
        <v>154</v>
      </c>
      <c r="B12" s="1" t="s">
        <v>176</v>
      </c>
      <c r="C12" s="68"/>
      <c r="D12" s="69" t="b">
        <f>COUNTIF('DWH Tables Metadata'!$B$5:$B$99,B12)&gt;0</f>
        <v>0</v>
      </c>
      <c r="E12" s="1" t="str">
        <f t="shared" si="0"/>
        <v>Not Used</v>
      </c>
    </row>
    <row r="13" spans="1:6" x14ac:dyDescent="0.3">
      <c r="A13" s="1" t="s">
        <v>154</v>
      </c>
      <c r="B13" s="1" t="s">
        <v>160</v>
      </c>
      <c r="C13" s="68"/>
      <c r="D13" s="69" t="b">
        <f>COUNTIF('DWH Tables Metadata'!$B$5:$B$99,B13)&gt;0</f>
        <v>0</v>
      </c>
      <c r="E13" s="1" t="str">
        <f t="shared" si="0"/>
        <v>Not Used</v>
      </c>
    </row>
    <row r="14" spans="1:6" x14ac:dyDescent="0.3">
      <c r="A14" s="1" t="s">
        <v>154</v>
      </c>
      <c r="B14" s="1" t="s">
        <v>162</v>
      </c>
      <c r="C14" s="68"/>
      <c r="D14" s="69" t="b">
        <f>COUNTIF('DWH Tables Metadata'!$B$5:$B$99,B14)&gt;0</f>
        <v>0</v>
      </c>
      <c r="E14" s="1" t="str">
        <f t="shared" si="0"/>
        <v>Not Used</v>
      </c>
    </row>
    <row r="15" spans="1:6" x14ac:dyDescent="0.3">
      <c r="A15" s="66" t="s">
        <v>154</v>
      </c>
      <c r="B15" s="66" t="s">
        <v>2</v>
      </c>
      <c r="C15" s="66" t="s">
        <v>26</v>
      </c>
      <c r="D15" s="67" t="b">
        <f>COUNTIF('DWH Tables Metadata'!$B$5:$B$99,B15)&gt;0</f>
        <v>1</v>
      </c>
      <c r="E15" s="66" t="str">
        <f t="shared" si="0"/>
        <v>Used</v>
      </c>
    </row>
    <row r="16" spans="1:6" x14ac:dyDescent="0.3">
      <c r="A16" s="66" t="s">
        <v>154</v>
      </c>
      <c r="B16" s="66" t="s">
        <v>17</v>
      </c>
      <c r="C16" s="66" t="s">
        <v>44</v>
      </c>
      <c r="D16" s="67" t="b">
        <f>COUNTIF('DWH Tables Metadata'!$B$5:$B$99,B16)&gt;0</f>
        <v>1</v>
      </c>
      <c r="E16" s="66" t="str">
        <f t="shared" si="0"/>
        <v>Used</v>
      </c>
    </row>
    <row r="17" spans="1:5" x14ac:dyDescent="0.3">
      <c r="A17" s="1" t="s">
        <v>154</v>
      </c>
      <c r="B17" s="1" t="s">
        <v>164</v>
      </c>
      <c r="C17" s="68"/>
      <c r="D17" s="69" t="b">
        <f>COUNTIF('DWH Tables Metadata'!$B$5:$B$99,B17)&gt;0</f>
        <v>0</v>
      </c>
      <c r="E17" s="1" t="str">
        <f t="shared" si="0"/>
        <v>Not Used</v>
      </c>
    </row>
    <row r="18" spans="1:5" x14ac:dyDescent="0.3">
      <c r="A18" s="1" t="s">
        <v>154</v>
      </c>
      <c r="B18" s="1" t="s">
        <v>156</v>
      </c>
      <c r="C18" s="68"/>
      <c r="D18" s="69" t="b">
        <f>COUNTIF('DWH Tables Metadata'!$B$5:$B$99,B18)&gt;0</f>
        <v>0</v>
      </c>
      <c r="E18" s="1" t="str">
        <f t="shared" si="0"/>
        <v>Not Used</v>
      </c>
    </row>
    <row r="19" spans="1:5" x14ac:dyDescent="0.3">
      <c r="A19" s="1" t="s">
        <v>154</v>
      </c>
      <c r="B19" s="1" t="s">
        <v>166</v>
      </c>
      <c r="C19" s="68"/>
      <c r="D19" s="69" t="b">
        <f>COUNTIF('DWH Tables Metadata'!$B$5:$B$99,B19)&gt;0</f>
        <v>0</v>
      </c>
      <c r="E19" s="1" t="str">
        <f t="shared" si="0"/>
        <v>Not Used</v>
      </c>
    </row>
    <row r="20" spans="1:5" x14ac:dyDescent="0.3">
      <c r="A20" s="66" t="s">
        <v>154</v>
      </c>
      <c r="B20" s="66" t="s">
        <v>15</v>
      </c>
      <c r="C20" s="66" t="s">
        <v>45</v>
      </c>
      <c r="D20" s="67" t="b">
        <f>COUNTIF('DWH Tables Metadata'!$B$5:$B$99,B20)&gt;0</f>
        <v>1</v>
      </c>
      <c r="E20" s="66" t="str">
        <f t="shared" si="0"/>
        <v>Used</v>
      </c>
    </row>
    <row r="21" spans="1:5" x14ac:dyDescent="0.3">
      <c r="A21" s="66" t="s">
        <v>154</v>
      </c>
      <c r="B21" s="66" t="s">
        <v>19</v>
      </c>
      <c r="C21" s="66" t="s">
        <v>46</v>
      </c>
      <c r="D21" s="67" t="b">
        <f>COUNTIF('DWH Tables Metadata'!$B$5:$B$99,B21)&gt;0</f>
        <v>1</v>
      </c>
      <c r="E21" s="66" t="str">
        <f t="shared" si="0"/>
        <v>Used</v>
      </c>
    </row>
    <row r="22" spans="1:5" x14ac:dyDescent="0.3">
      <c r="A22" s="66" t="s">
        <v>154</v>
      </c>
      <c r="B22" s="66" t="s">
        <v>19</v>
      </c>
      <c r="C22" s="66" t="s">
        <v>47</v>
      </c>
      <c r="D22" s="67" t="b">
        <f>COUNTIF('DWH Tables Metadata'!$B$5:$B$99,B22)&gt;0</f>
        <v>1</v>
      </c>
      <c r="E22" s="66" t="str">
        <f t="shared" si="0"/>
        <v>Used</v>
      </c>
    </row>
    <row r="23" spans="1:5" x14ac:dyDescent="0.3">
      <c r="A23" s="1" t="s">
        <v>158</v>
      </c>
      <c r="B23" s="1" t="s">
        <v>168</v>
      </c>
      <c r="C23" s="68"/>
      <c r="D23" s="69" t="b">
        <f>COUNTIF('DWH Tables Metadata'!$B$5:$B$99,B23)&gt;0</f>
        <v>0</v>
      </c>
      <c r="E23" s="1" t="str">
        <f t="shared" si="0"/>
        <v>Not Used</v>
      </c>
    </row>
    <row r="24" spans="1:5" x14ac:dyDescent="0.3">
      <c r="A24" s="1" t="s">
        <v>158</v>
      </c>
      <c r="B24" s="1" t="s">
        <v>172</v>
      </c>
      <c r="C24" s="68"/>
      <c r="D24" s="69" t="b">
        <f>COUNTIF('DWH Tables Metadata'!$B$5:$B$99,B24)&gt;0</f>
        <v>0</v>
      </c>
      <c r="E24" s="1" t="str">
        <f t="shared" si="0"/>
        <v>Not Used</v>
      </c>
    </row>
    <row r="25" spans="1:5" x14ac:dyDescent="0.3">
      <c r="A25" s="1" t="s">
        <v>158</v>
      </c>
      <c r="B25" s="1" t="s">
        <v>174</v>
      </c>
      <c r="C25" s="68"/>
      <c r="D25" s="69" t="b">
        <f>COUNTIF('DWH Tables Metadata'!$B$5:$B$99,B25)&gt;0</f>
        <v>0</v>
      </c>
      <c r="E25" s="1" t="str">
        <f t="shared" si="0"/>
        <v>Not Used</v>
      </c>
    </row>
    <row r="26" spans="1:5" x14ac:dyDescent="0.3">
      <c r="A26" s="1" t="s">
        <v>158</v>
      </c>
      <c r="B26" s="1" t="s">
        <v>170</v>
      </c>
      <c r="C26" s="68"/>
      <c r="D26" s="69" t="b">
        <f>COUNTIF('DWH Tables Metadata'!$B$5:$B$99,B26)&gt;0</f>
        <v>0</v>
      </c>
      <c r="E26" s="1" t="str">
        <f t="shared" si="0"/>
        <v>Not Used</v>
      </c>
    </row>
    <row r="27" spans="1:5" x14ac:dyDescent="0.3">
      <c r="A27" s="1" t="s">
        <v>151</v>
      </c>
      <c r="B27" s="1" t="s">
        <v>171</v>
      </c>
      <c r="C27" s="68"/>
      <c r="D27" s="69" t="b">
        <f>COUNTIF('DWH Tables Metadata'!$B$5:$B$99,B27)&gt;0</f>
        <v>0</v>
      </c>
      <c r="E27" s="1" t="str">
        <f t="shared" si="0"/>
        <v>Not Used</v>
      </c>
    </row>
    <row r="28" spans="1:5" x14ac:dyDescent="0.3">
      <c r="A28" s="66" t="s">
        <v>151</v>
      </c>
      <c r="B28" s="66" t="s">
        <v>76</v>
      </c>
      <c r="C28" s="66" t="s">
        <v>75</v>
      </c>
      <c r="D28" s="67" t="b">
        <f>COUNTIF('DWH Tables Metadata'!$B$5:$B$99,B28)&gt;0</f>
        <v>1</v>
      </c>
      <c r="E28" s="66" t="str">
        <f t="shared" si="0"/>
        <v>Used</v>
      </c>
    </row>
    <row r="29" spans="1:5" x14ac:dyDescent="0.3">
      <c r="A29" s="1" t="s">
        <v>151</v>
      </c>
      <c r="B29" s="1" t="s">
        <v>173</v>
      </c>
      <c r="C29" s="68"/>
      <c r="D29" s="69" t="b">
        <f>COUNTIF('DWH Tables Metadata'!$B$5:$B$99,B29)&gt;0</f>
        <v>0</v>
      </c>
      <c r="E29" s="1" t="str">
        <f t="shared" si="0"/>
        <v>Not Used</v>
      </c>
    </row>
    <row r="30" spans="1:5" x14ac:dyDescent="0.3">
      <c r="A30" s="1" t="s">
        <v>151</v>
      </c>
      <c r="B30" s="1" t="s">
        <v>175</v>
      </c>
      <c r="C30" s="68"/>
      <c r="D30" s="69" t="b">
        <f>COUNTIF('DWH Tables Metadata'!$B$5:$B$99,B30)&gt;0</f>
        <v>0</v>
      </c>
      <c r="E30" s="1" t="str">
        <f t="shared" si="0"/>
        <v>Not Used</v>
      </c>
    </row>
    <row r="31" spans="1:5" x14ac:dyDescent="0.3">
      <c r="A31" s="1" t="s">
        <v>151</v>
      </c>
      <c r="B31" s="1" t="s">
        <v>152</v>
      </c>
      <c r="C31" s="68"/>
      <c r="D31" s="69" t="b">
        <f>COUNTIF('DWH Tables Metadata'!$B$5:$B$99,B31)&gt;0</f>
        <v>0</v>
      </c>
      <c r="E31" s="1" t="str">
        <f t="shared" si="0"/>
        <v>Not Used</v>
      </c>
    </row>
    <row r="32" spans="1:5" x14ac:dyDescent="0.3">
      <c r="A32" s="1" t="s">
        <v>151</v>
      </c>
      <c r="B32" s="1" t="s">
        <v>155</v>
      </c>
      <c r="C32" s="68"/>
      <c r="D32" s="69" t="b">
        <f>COUNTIF('DWH Tables Metadata'!$B$5:$B$99,B32)&gt;0</f>
        <v>0</v>
      </c>
      <c r="E32" s="1" t="str">
        <f t="shared" si="0"/>
        <v>Not Used</v>
      </c>
    </row>
    <row r="33" spans="1:9" x14ac:dyDescent="0.3">
      <c r="A33" s="66" t="s">
        <v>151</v>
      </c>
      <c r="B33" s="66" t="s">
        <v>74</v>
      </c>
      <c r="C33" s="66" t="s">
        <v>73</v>
      </c>
      <c r="D33" s="67" t="b">
        <f>COUNTIF('DWH Tables Metadata'!$B$5:$B$99,B33)&gt;0</f>
        <v>1</v>
      </c>
      <c r="E33" s="66" t="str">
        <f t="shared" si="0"/>
        <v>Used</v>
      </c>
    </row>
    <row r="34" spans="1:9" x14ac:dyDescent="0.3">
      <c r="A34" s="66" t="s">
        <v>151</v>
      </c>
      <c r="B34" s="66" t="s">
        <v>72</v>
      </c>
      <c r="C34" s="66" t="s">
        <v>64</v>
      </c>
      <c r="D34" s="67" t="b">
        <f>COUNTIF('DWH Tables Metadata'!$B$5:$B$99,B34)&gt;0</f>
        <v>1</v>
      </c>
      <c r="E34" s="66" t="str">
        <f t="shared" si="0"/>
        <v>Used</v>
      </c>
    </row>
    <row r="35" spans="1:9" x14ac:dyDescent="0.3">
      <c r="A35" s="66" t="s">
        <v>151</v>
      </c>
      <c r="B35" s="66" t="s">
        <v>117</v>
      </c>
      <c r="C35" s="66" t="s">
        <v>148</v>
      </c>
      <c r="D35" s="67" t="b">
        <f>COUNTIF('DWH Tables Metadata'!$B$5:$B$99,B35)&gt;0</f>
        <v>1</v>
      </c>
      <c r="E35" s="66" t="str">
        <f t="shared" si="0"/>
        <v>Used</v>
      </c>
    </row>
    <row r="36" spans="1:9" x14ac:dyDescent="0.3">
      <c r="A36" s="66" t="s">
        <v>151</v>
      </c>
      <c r="B36" s="66" t="s">
        <v>116</v>
      </c>
      <c r="C36" s="66" t="s">
        <v>115</v>
      </c>
      <c r="D36" s="67" t="b">
        <f>COUNTIF('DWH Tables Metadata'!$B$5:$B$99,B36)&gt;0</f>
        <v>1</v>
      </c>
      <c r="E36" s="66" t="str">
        <f t="shared" si="0"/>
        <v>Used</v>
      </c>
    </row>
    <row r="37" spans="1:9" x14ac:dyDescent="0.3">
      <c r="A37" s="66" t="s">
        <v>151</v>
      </c>
      <c r="B37" s="66" t="s">
        <v>92</v>
      </c>
      <c r="C37" s="66" t="s">
        <v>79</v>
      </c>
      <c r="D37" s="67" t="b">
        <f>COUNTIF('DWH Tables Metadata'!$B$5:$B$99,B37)&gt;0</f>
        <v>1</v>
      </c>
      <c r="E37" s="66" t="str">
        <f t="shared" si="0"/>
        <v>Used</v>
      </c>
    </row>
    <row r="38" spans="1:9" x14ac:dyDescent="0.3">
      <c r="A38" s="1" t="s">
        <v>151</v>
      </c>
      <c r="B38" s="1" t="s">
        <v>159</v>
      </c>
      <c r="C38" s="68"/>
      <c r="D38" s="69" t="b">
        <f>COUNTIF('DWH Tables Metadata'!$B$5:$B$99,B38)&gt;0</f>
        <v>0</v>
      </c>
      <c r="E38" s="1" t="str">
        <f t="shared" si="0"/>
        <v>Not Used</v>
      </c>
    </row>
    <row r="39" spans="1:9" x14ac:dyDescent="0.3">
      <c r="A39" s="1" t="s">
        <v>151</v>
      </c>
      <c r="B39" s="1" t="s">
        <v>161</v>
      </c>
      <c r="C39" s="68"/>
      <c r="D39" s="69" t="b">
        <f>COUNTIF('DWH Tables Metadata'!$B$5:$B$99,B39)&gt;0</f>
        <v>0</v>
      </c>
      <c r="E39" s="1" t="str">
        <f t="shared" si="0"/>
        <v>Not Used</v>
      </c>
    </row>
    <row r="41" spans="1:9" x14ac:dyDescent="0.3">
      <c r="G41" t="s">
        <v>157</v>
      </c>
      <c r="H41" t="s">
        <v>94</v>
      </c>
      <c r="I41" t="e">
        <f>VLOOKUP(H41,$B$4:$B$37,1,FALSE)</f>
        <v>#N/A</v>
      </c>
    </row>
    <row r="42" spans="1:9" x14ac:dyDescent="0.3">
      <c r="G42" t="s">
        <v>153</v>
      </c>
      <c r="H42" t="s">
        <v>106</v>
      </c>
      <c r="I42" t="str">
        <f t="shared" ref="I42:I54" si="1">VLOOKUP(H42,$B$4:$B$37,1,FALSE)</f>
        <v>Address</v>
      </c>
    </row>
    <row r="43" spans="1:9" x14ac:dyDescent="0.3">
      <c r="G43" t="s">
        <v>153</v>
      </c>
      <c r="H43" t="s">
        <v>109</v>
      </c>
      <c r="I43" t="str">
        <f t="shared" si="1"/>
        <v>StateProvince</v>
      </c>
    </row>
    <row r="44" spans="1:9" x14ac:dyDescent="0.3">
      <c r="G44" t="s">
        <v>153</v>
      </c>
      <c r="H44" t="s">
        <v>78</v>
      </c>
      <c r="I44" t="str">
        <f t="shared" si="1"/>
        <v>CountryRegion</v>
      </c>
    </row>
    <row r="45" spans="1:9" x14ac:dyDescent="0.3">
      <c r="G45" t="s">
        <v>154</v>
      </c>
      <c r="H45" t="s">
        <v>15</v>
      </c>
      <c r="I45" t="str">
        <f t="shared" si="1"/>
        <v>ProductSubcategory</v>
      </c>
    </row>
    <row r="46" spans="1:9" x14ac:dyDescent="0.3">
      <c r="G46" t="s">
        <v>154</v>
      </c>
      <c r="H46" t="s">
        <v>19</v>
      </c>
      <c r="I46" t="str">
        <f t="shared" si="1"/>
        <v>UnitMeasure</v>
      </c>
    </row>
    <row r="47" spans="1:9" x14ac:dyDescent="0.3">
      <c r="G47" t="s">
        <v>154</v>
      </c>
      <c r="H47" t="s">
        <v>2</v>
      </c>
      <c r="I47" t="str">
        <f t="shared" si="1"/>
        <v>Product</v>
      </c>
    </row>
    <row r="48" spans="1:9" x14ac:dyDescent="0.3">
      <c r="G48" t="s">
        <v>154</v>
      </c>
      <c r="H48" t="s">
        <v>17</v>
      </c>
      <c r="I48" t="str">
        <f t="shared" si="1"/>
        <v>ProductCategory</v>
      </c>
    </row>
    <row r="49" spans="7:9" x14ac:dyDescent="0.3">
      <c r="G49" t="s">
        <v>151</v>
      </c>
      <c r="H49" t="s">
        <v>74</v>
      </c>
      <c r="I49" t="str">
        <f t="shared" si="1"/>
        <v>Store</v>
      </c>
    </row>
    <row r="50" spans="7:9" x14ac:dyDescent="0.3">
      <c r="G50" t="s">
        <v>151</v>
      </c>
      <c r="H50" t="s">
        <v>72</v>
      </c>
      <c r="I50" t="str">
        <f t="shared" si="1"/>
        <v>Customer</v>
      </c>
    </row>
    <row r="51" spans="7:9" x14ac:dyDescent="0.3">
      <c r="G51" t="s">
        <v>151</v>
      </c>
      <c r="H51" t="s">
        <v>117</v>
      </c>
      <c r="I51" t="str">
        <f t="shared" si="1"/>
        <v>SalesOrderDetail</v>
      </c>
    </row>
    <row r="52" spans="7:9" x14ac:dyDescent="0.3">
      <c r="G52" t="s">
        <v>151</v>
      </c>
      <c r="H52" t="s">
        <v>116</v>
      </c>
      <c r="I52" t="str">
        <f t="shared" si="1"/>
        <v>SalesOrderHeader</v>
      </c>
    </row>
    <row r="53" spans="7:9" x14ac:dyDescent="0.3">
      <c r="G53" t="s">
        <v>151</v>
      </c>
      <c r="H53" t="s">
        <v>92</v>
      </c>
      <c r="I53" t="str">
        <f t="shared" si="1"/>
        <v>SalesPerson</v>
      </c>
    </row>
    <row r="54" spans="7:9" x14ac:dyDescent="0.3">
      <c r="G54" t="s">
        <v>151</v>
      </c>
      <c r="H54" t="s">
        <v>76</v>
      </c>
      <c r="I54" t="str">
        <f t="shared" si="1"/>
        <v>SalesTerritory</v>
      </c>
    </row>
  </sheetData>
  <autoFilter ref="A2:E39" xr:uid="{4F36C880-1AAF-4A20-AC67-35962FF4B27C}">
    <filterColumn colId="3" showButton="0"/>
    <sortState xmlns:xlrd2="http://schemas.microsoft.com/office/spreadsheetml/2017/richdata2" ref="A3:E39">
      <sortCondition ref="A2:A39"/>
    </sortState>
  </autoFilter>
  <mergeCells count="3">
    <mergeCell ref="A1:B1"/>
    <mergeCell ref="D2:E2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FCC4-65E1-4F8E-A2A1-54AC8A34B59B}">
  <dimension ref="A1:N101"/>
  <sheetViews>
    <sheetView topLeftCell="A13" zoomScale="70" zoomScaleNormal="70" workbookViewId="0">
      <selection activeCell="D23" sqref="D23"/>
    </sheetView>
  </sheetViews>
  <sheetFormatPr defaultRowHeight="14.4" customHeight="1" x14ac:dyDescent="0.3"/>
  <cols>
    <col min="1" max="1" width="19.88671875" customWidth="1"/>
    <col min="2" max="2" width="24" customWidth="1"/>
    <col min="3" max="3" width="16.5546875" customWidth="1"/>
    <col min="4" max="4" width="19" customWidth="1"/>
    <col min="5" max="5" width="6.88671875" customWidth="1"/>
    <col min="6" max="6" width="19.21875" customWidth="1"/>
    <col min="7" max="7" width="19.6640625" customWidth="1"/>
    <col min="8" max="8" width="19" customWidth="1"/>
    <col min="9" max="9" width="23.5546875" customWidth="1"/>
    <col min="10" max="10" width="52.6640625" customWidth="1"/>
    <col min="11" max="11" width="37.44140625" customWidth="1"/>
  </cols>
  <sheetData>
    <row r="1" spans="1:11" ht="14.4" customHeight="1" x14ac:dyDescent="0.3">
      <c r="A1" s="135" t="s">
        <v>189</v>
      </c>
      <c r="B1" s="136"/>
      <c r="C1" s="139" t="s">
        <v>191</v>
      </c>
      <c r="D1" s="140"/>
      <c r="E1" s="140"/>
      <c r="F1" s="140"/>
      <c r="G1" s="141"/>
      <c r="H1" s="145" t="s">
        <v>190</v>
      </c>
      <c r="I1" s="146"/>
      <c r="J1" s="149" t="s">
        <v>183</v>
      </c>
      <c r="K1" s="150"/>
    </row>
    <row r="2" spans="1:11" ht="14.4" customHeight="1" x14ac:dyDescent="0.3">
      <c r="A2" s="137"/>
      <c r="B2" s="138"/>
      <c r="C2" s="142"/>
      <c r="D2" s="143"/>
      <c r="E2" s="143"/>
      <c r="F2" s="143"/>
      <c r="G2" s="144"/>
      <c r="H2" s="147"/>
      <c r="I2" s="148"/>
      <c r="J2" s="151"/>
      <c r="K2" s="152"/>
    </row>
    <row r="3" spans="1:11" ht="14.4" customHeight="1" thickBot="1" x14ac:dyDescent="0.35">
      <c r="A3" s="59" t="s">
        <v>179</v>
      </c>
      <c r="B3" s="60" t="s">
        <v>178</v>
      </c>
      <c r="C3" s="57" t="s">
        <v>180</v>
      </c>
      <c r="D3" s="61" t="s">
        <v>181</v>
      </c>
      <c r="E3" s="153" t="s">
        <v>182</v>
      </c>
      <c r="F3" s="129"/>
      <c r="G3" s="58" t="s">
        <v>43</v>
      </c>
      <c r="H3" s="154" t="s">
        <v>186</v>
      </c>
      <c r="I3" s="155"/>
      <c r="J3" s="79" t="s">
        <v>184</v>
      </c>
      <c r="K3" s="80" t="s">
        <v>185</v>
      </c>
    </row>
    <row r="4" spans="1:11" ht="14.4" customHeight="1" thickBot="1" x14ac:dyDescent="0.35">
      <c r="A4" s="15" t="s">
        <v>111</v>
      </c>
      <c r="B4" s="17"/>
      <c r="C4" s="15" t="s">
        <v>111</v>
      </c>
      <c r="D4" s="16"/>
      <c r="E4" s="16"/>
      <c r="F4" s="16"/>
      <c r="G4" s="17"/>
      <c r="H4" s="15" t="s">
        <v>111</v>
      </c>
      <c r="I4" s="17"/>
      <c r="J4" s="15" t="s">
        <v>111</v>
      </c>
      <c r="K4" s="17"/>
    </row>
    <row r="5" spans="1:11" ht="14.4" customHeight="1" x14ac:dyDescent="0.3">
      <c r="A5" s="6" t="str">
        <f>INDEX('OLTP Tables'!$A$3:$A$39,MATCH(SUBSTITUTE('DWH Tables Metadata'!C5,",",""),'OLTP Tables'!$C$3:$C$39,0))</f>
        <v>Person</v>
      </c>
      <c r="B5" s="7" t="str">
        <f>INDEX('OLTP Tables'!$B$3:$B$39,MATCH(SUBSTITUTE('DWH Tables Metadata'!C5,",",""),'OLTP Tables'!$C$3:$C$39,0))</f>
        <v>Address</v>
      </c>
      <c r="C5" s="6" t="s">
        <v>96</v>
      </c>
      <c r="D5" s="1" t="s">
        <v>97</v>
      </c>
      <c r="E5" s="1" t="s">
        <v>27</v>
      </c>
      <c r="F5" s="1" t="s">
        <v>97</v>
      </c>
      <c r="G5" s="8"/>
      <c r="H5" s="85" t="str" cm="1">
        <f t="array" ref="H5:I8">_xlfn.UNIQUE(A5:B18)</f>
        <v>Person</v>
      </c>
      <c r="I5" s="86" t="str">
        <v>Address</v>
      </c>
      <c r="J5" s="89" t="str">
        <f>_xlfn.CONCAT(
"('",B5,"','",D5,"',","'",F5,"','",G5,"')")</f>
        <v>('Address','AddressID','AddressID','')</v>
      </c>
      <c r="K5" s="89" t="str">
        <f>_xlfn.CONCAT(
"('",H5,"','",I5,"')")</f>
        <v>('Person','Address')</v>
      </c>
    </row>
    <row r="6" spans="1:11" ht="14.4" customHeight="1" x14ac:dyDescent="0.3">
      <c r="A6" s="6" t="str">
        <f>INDEX('OLTP Tables'!$A$3:$A$39,MATCH(SUBSTITUTE('DWH Tables Metadata'!C6,",",""),'OLTP Tables'!$C$3:$C$39,0))</f>
        <v>Person</v>
      </c>
      <c r="B6" s="7" t="str">
        <f>INDEX('OLTP Tables'!$B$3:$B$39,MATCH(SUBSTITUTE('DWH Tables Metadata'!C6,",",""),'OLTP Tables'!$C$3:$C$39,0))</f>
        <v>StateProvince</v>
      </c>
      <c r="C6" s="6" t="s">
        <v>107</v>
      </c>
      <c r="D6" s="1" t="s">
        <v>98</v>
      </c>
      <c r="E6" s="1" t="s">
        <v>27</v>
      </c>
      <c r="F6" s="1" t="s">
        <v>98</v>
      </c>
      <c r="G6" s="8"/>
      <c r="H6" s="62" t="str">
        <v>Person</v>
      </c>
      <c r="I6" s="63" t="str">
        <v>StateProvince</v>
      </c>
      <c r="J6" s="90" t="str">
        <f>_xlfn.CONCAT(
",('",B6,"','",D6,"',","'",F6,"','",G6,"')")</f>
        <v>,('StateProvince','StateProvinceID','StateProvinceID','')</v>
      </c>
      <c r="K6" s="91" t="str">
        <f>_xlfn.CONCAT(
",('",H6,"','",I6,"')")</f>
        <v>,('Person','StateProvince')</v>
      </c>
    </row>
    <row r="7" spans="1:11" ht="14.4" customHeight="1" x14ac:dyDescent="0.3">
      <c r="A7" s="6" t="str">
        <f>INDEX('OLTP Tables'!$A$3:$A$39,MATCH(SUBSTITUTE('DWH Tables Metadata'!C7,",",""),'OLTP Tables'!$C$3:$C$39,0))</f>
        <v>Person</v>
      </c>
      <c r="B7" s="7" t="str">
        <f>INDEX('OLTP Tables'!$B$3:$B$39,MATCH(SUBSTITUTE('DWH Tables Metadata'!C7,",",""),'OLTP Tables'!$C$3:$C$39,0))</f>
        <v>StateProvince</v>
      </c>
      <c r="C7" s="6" t="s">
        <v>107</v>
      </c>
      <c r="D7" s="1" t="s">
        <v>52</v>
      </c>
      <c r="E7" s="1" t="s">
        <v>27</v>
      </c>
      <c r="F7" s="1" t="s">
        <v>52</v>
      </c>
      <c r="G7" s="8"/>
      <c r="H7" s="62" t="str">
        <v>Sales</v>
      </c>
      <c r="I7" s="63" t="str">
        <v>SalesTerritory</v>
      </c>
      <c r="J7" s="90" t="str">
        <f t="shared" ref="J7:J18" si="0">_xlfn.CONCAT(
",('",B7,"','",D7,"',","'",F7,"','",G7,"')")</f>
        <v>,('StateProvince','TerritoryID','TerritoryID','')</v>
      </c>
      <c r="K7" s="91" t="str">
        <f>_xlfn.CONCAT(
",('",H7,"','",I7,"')")</f>
        <v>,('Sales','SalesTerritory')</v>
      </c>
    </row>
    <row r="8" spans="1:11" ht="14.4" customHeight="1" thickBot="1" x14ac:dyDescent="0.35">
      <c r="A8" s="6" t="str">
        <f>INDEX('OLTP Tables'!$A$3:$A$39,MATCH(SUBSTITUTE('DWH Tables Metadata'!C8,",",""),'OLTP Tables'!$C$3:$C$39,0))</f>
        <v>Person</v>
      </c>
      <c r="B8" s="7" t="str">
        <f>INDEX('OLTP Tables'!$B$3:$B$39,MATCH(SUBSTITUTE('DWH Tables Metadata'!C8,",",""),'OLTP Tables'!$C$3:$C$39,0))</f>
        <v>Address</v>
      </c>
      <c r="C8" s="6" t="s">
        <v>99</v>
      </c>
      <c r="D8" s="1" t="s">
        <v>100</v>
      </c>
      <c r="E8" s="1" t="s">
        <v>27</v>
      </c>
      <c r="F8" s="1" t="s">
        <v>101</v>
      </c>
      <c r="G8" s="8"/>
      <c r="H8" s="87" t="str">
        <v>Person</v>
      </c>
      <c r="I8" s="88" t="str">
        <v>CountryRegion</v>
      </c>
      <c r="J8" s="90" t="str">
        <f t="shared" si="0"/>
        <v>,('Address','AddressLine1','AddressLine','')</v>
      </c>
      <c r="K8" s="92" t="str">
        <f>_xlfn.CONCAT(
",('",H8,"','",I8,"')")</f>
        <v>,('Person','CountryRegion')</v>
      </c>
    </row>
    <row r="9" spans="1:11" ht="14.4" customHeight="1" x14ac:dyDescent="0.3">
      <c r="A9" s="6" t="str">
        <f>INDEX('OLTP Tables'!$A$3:$A$39,MATCH(SUBSTITUTE('DWH Tables Metadata'!C9,",",""),'OLTP Tables'!$C$3:$C$39,0))</f>
        <v>Person</v>
      </c>
      <c r="B9" s="7" t="str">
        <f>INDEX('OLTP Tables'!$B$3:$B$39,MATCH(SUBSTITUTE('DWH Tables Metadata'!C9,",",""),'OLTP Tables'!$C$3:$C$39,0))</f>
        <v>Address</v>
      </c>
      <c r="C9" s="6" t="s">
        <v>99</v>
      </c>
      <c r="D9" s="1" t="s">
        <v>102</v>
      </c>
      <c r="E9" s="1" t="s">
        <v>27</v>
      </c>
      <c r="F9" s="1" t="s">
        <v>102</v>
      </c>
      <c r="G9" s="8"/>
      <c r="H9" s="81"/>
      <c r="I9" s="82"/>
      <c r="J9" s="90" t="str">
        <f t="shared" si="0"/>
        <v>,('Address','City','City','')</v>
      </c>
    </row>
    <row r="10" spans="1:11" ht="14.4" customHeight="1" x14ac:dyDescent="0.3">
      <c r="A10" s="6" t="str">
        <f>INDEX('OLTP Tables'!$A$3:$A$39,MATCH(SUBSTITUTE('DWH Tables Metadata'!C10,",",""),'OLTP Tables'!$C$3:$C$39,0))</f>
        <v>Person</v>
      </c>
      <c r="B10" s="7" t="str">
        <f>INDEX('OLTP Tables'!$B$3:$B$39,MATCH(SUBSTITUTE('DWH Tables Metadata'!C10,",",""),'OLTP Tables'!$C$3:$C$39,0))</f>
        <v>Address</v>
      </c>
      <c r="C10" s="6" t="s">
        <v>99</v>
      </c>
      <c r="D10" s="1" t="s">
        <v>103</v>
      </c>
      <c r="E10" s="1" t="s">
        <v>27</v>
      </c>
      <c r="F10" s="1" t="s">
        <v>103</v>
      </c>
      <c r="G10" s="8"/>
      <c r="H10" s="81"/>
      <c r="I10" s="82"/>
      <c r="J10" s="90" t="str">
        <f t="shared" si="0"/>
        <v>,('Address','PostalCode','PostalCode','')</v>
      </c>
    </row>
    <row r="11" spans="1:11" ht="14.4" customHeight="1" x14ac:dyDescent="0.3">
      <c r="A11" s="6" t="str">
        <f>INDEX('OLTP Tables'!$A$3:$A$39,MATCH(SUBSTITUTE('DWH Tables Metadata'!C11,",",""),'OLTP Tables'!$C$3:$C$39,0))</f>
        <v>Person</v>
      </c>
      <c r="B11" s="7" t="str">
        <f>INDEX('OLTP Tables'!$B$3:$B$39,MATCH(SUBSTITUTE('DWH Tables Metadata'!C11,",",""),'OLTP Tables'!$C$3:$C$39,0))</f>
        <v>StateProvince</v>
      </c>
      <c r="C11" s="6" t="s">
        <v>107</v>
      </c>
      <c r="D11" s="1" t="s">
        <v>0</v>
      </c>
      <c r="E11" s="1" t="s">
        <v>27</v>
      </c>
      <c r="F11" s="1" t="s">
        <v>104</v>
      </c>
      <c r="G11" s="8"/>
      <c r="H11" s="81"/>
      <c r="I11" s="82"/>
      <c r="J11" s="90" t="str">
        <f t="shared" si="0"/>
        <v>,('StateProvince','Name','StateProvinceName','')</v>
      </c>
    </row>
    <row r="12" spans="1:11" ht="14.4" customHeight="1" x14ac:dyDescent="0.3">
      <c r="A12" s="6" t="str">
        <f>INDEX('OLTP Tables'!$A$3:$A$39,MATCH(SUBSTITUTE('DWH Tables Metadata'!C12,",",""),'OLTP Tables'!$C$3:$C$39,0))</f>
        <v>Person</v>
      </c>
      <c r="B12" s="7" t="str">
        <f>INDEX('OLTP Tables'!$B$3:$B$39,MATCH(SUBSTITUTE('DWH Tables Metadata'!C12,",",""),'OLTP Tables'!$C$3:$C$39,0))</f>
        <v>StateProvince</v>
      </c>
      <c r="C12" s="6" t="s">
        <v>107</v>
      </c>
      <c r="D12" s="1" t="s">
        <v>105</v>
      </c>
      <c r="E12" s="1" t="s">
        <v>27</v>
      </c>
      <c r="F12" s="1" t="s">
        <v>105</v>
      </c>
      <c r="G12" s="8"/>
      <c r="H12" s="81"/>
      <c r="I12" s="82"/>
      <c r="J12" s="90" t="str">
        <f t="shared" si="0"/>
        <v>,('StateProvince','StateProvinceCode','StateProvinceCode','')</v>
      </c>
    </row>
    <row r="13" spans="1:11" ht="14.4" customHeight="1" x14ac:dyDescent="0.3">
      <c r="A13" s="6" t="str">
        <f>INDEX('OLTP Tables'!$A$3:$A$39,MATCH(SUBSTITUTE('DWH Tables Metadata'!C13,",",""),'OLTP Tables'!$C$3:$C$39,0))</f>
        <v>Sales</v>
      </c>
      <c r="B13" s="7" t="str">
        <f>INDEX('OLTP Tables'!$B$3:$B$39,MATCH(SUBSTITUTE('DWH Tables Metadata'!C13,",",""),'OLTP Tables'!$C$3:$C$39,0))</f>
        <v>SalesTerritory</v>
      </c>
      <c r="C13" s="6" t="s">
        <v>69</v>
      </c>
      <c r="D13" s="1" t="s">
        <v>0</v>
      </c>
      <c r="E13" s="1" t="s">
        <v>27</v>
      </c>
      <c r="F13" s="1" t="s">
        <v>60</v>
      </c>
      <c r="G13" s="8"/>
      <c r="H13" s="81"/>
      <c r="I13" s="82"/>
      <c r="J13" s="90" t="str">
        <f t="shared" si="0"/>
        <v>,('SalesTerritory','Name','TerritoryName','')</v>
      </c>
    </row>
    <row r="14" spans="1:11" ht="14.4" customHeight="1" x14ac:dyDescent="0.3">
      <c r="A14" s="6" t="str">
        <f>INDEX('OLTP Tables'!$A$3:$A$39,MATCH(SUBSTITUTE('DWH Tables Metadata'!C14,",",""),'OLTP Tables'!$C$3:$C$39,0))</f>
        <v>Person</v>
      </c>
      <c r="B14" s="7" t="str">
        <f>INDEX('OLTP Tables'!$B$3:$B$39,MATCH(SUBSTITUTE('DWH Tables Metadata'!C14,",",""),'OLTP Tables'!$C$3:$C$39,0))</f>
        <v>CountryRegion</v>
      </c>
      <c r="C14" s="6" t="s">
        <v>70</v>
      </c>
      <c r="D14" s="1" t="s">
        <v>0</v>
      </c>
      <c r="E14" s="1" t="s">
        <v>27</v>
      </c>
      <c r="F14" s="1" t="s">
        <v>61</v>
      </c>
      <c r="G14" s="8"/>
      <c r="H14" s="81"/>
      <c r="I14" s="82"/>
      <c r="J14" s="90" t="str">
        <f t="shared" si="0"/>
        <v>,('CountryRegion','Name','CountryRegionName','')</v>
      </c>
    </row>
    <row r="15" spans="1:11" ht="14.4" customHeight="1" x14ac:dyDescent="0.3">
      <c r="A15" s="6" t="str">
        <f>INDEX('OLTP Tables'!$A$3:$A$39,MATCH(SUBSTITUTE('DWH Tables Metadata'!C15,",",""),'OLTP Tables'!$C$3:$C$39,0))</f>
        <v>Sales</v>
      </c>
      <c r="B15" s="7" t="str">
        <f>INDEX('OLTP Tables'!$B$3:$B$39,MATCH(SUBSTITUTE('DWH Tables Metadata'!C15,",",""),'OLTP Tables'!$C$3:$C$39,0))</f>
        <v>SalesTerritory</v>
      </c>
      <c r="C15" s="6" t="s">
        <v>69</v>
      </c>
      <c r="D15" s="1" t="s">
        <v>62</v>
      </c>
      <c r="E15" s="1" t="s">
        <v>27</v>
      </c>
      <c r="F15" s="1" t="s">
        <v>62</v>
      </c>
      <c r="G15" s="8"/>
      <c r="H15" s="81"/>
      <c r="I15" s="82"/>
      <c r="J15" s="90" t="str">
        <f t="shared" si="0"/>
        <v>,('SalesTerritory','CountryRegionCode','CountryRegionCode','')</v>
      </c>
    </row>
    <row r="16" spans="1:11" ht="14.4" customHeight="1" x14ac:dyDescent="0.3">
      <c r="A16" s="6" t="str">
        <f>INDEX('OLTP Tables'!$A$3:$A$39,MATCH(SUBSTITUTE('DWH Tables Metadata'!C16,",",""),'OLTP Tables'!$C$3:$C$39,0))</f>
        <v>Sales</v>
      </c>
      <c r="B16" s="7" t="str">
        <f>INDEX('OLTP Tables'!$B$3:$B$39,MATCH(SUBSTITUTE('DWH Tables Metadata'!C16,",",""),'OLTP Tables'!$C$3:$C$39,0))</f>
        <v>SalesTerritory</v>
      </c>
      <c r="C16" s="6" t="s">
        <v>69</v>
      </c>
      <c r="D16" s="1" t="s">
        <v>71</v>
      </c>
      <c r="E16" s="1" t="s">
        <v>27</v>
      </c>
      <c r="F16" s="1" t="s">
        <v>63</v>
      </c>
      <c r="G16" s="8"/>
      <c r="H16" s="81"/>
      <c r="I16" s="82"/>
      <c r="J16" s="90" t="str">
        <f t="shared" si="0"/>
        <v>,('SalesTerritory','[Group]','TerritoryGroup','')</v>
      </c>
    </row>
    <row r="17" spans="1:13" ht="14.4" customHeight="1" x14ac:dyDescent="0.3">
      <c r="A17" s="6" t="str">
        <f>INDEX('OLTP Tables'!$A$3:$A$39,MATCH(SUBSTITUTE('DWH Tables Metadata'!C17,",",""),'OLTP Tables'!$C$3:$C$39,0))</f>
        <v>Person</v>
      </c>
      <c r="B17" s="7" t="str">
        <f>INDEX('OLTP Tables'!$B$3:$B$39,MATCH(SUBSTITUTE('DWH Tables Metadata'!C17,",",""),'OLTP Tables'!$C$3:$C$39,0))</f>
        <v>Address</v>
      </c>
      <c r="C17" s="6" t="s">
        <v>99</v>
      </c>
      <c r="D17" s="1" t="s">
        <v>197</v>
      </c>
      <c r="E17" s="1" t="s">
        <v>27</v>
      </c>
      <c r="F17" s="1" t="s">
        <v>197</v>
      </c>
      <c r="G17" s="8"/>
      <c r="H17" s="81"/>
      <c r="I17" s="82"/>
      <c r="J17" s="90" t="str">
        <f t="shared" si="0"/>
        <v>,('Address','ValidityDate_Start','ValidityDate_Start','')</v>
      </c>
    </row>
    <row r="18" spans="1:13" ht="14.4" customHeight="1" thickBot="1" x14ac:dyDescent="0.35">
      <c r="A18" s="6" t="str">
        <f>INDEX('OLTP Tables'!$A$3:$A$39,MATCH(SUBSTITUTE('DWH Tables Metadata'!C18,",",""),'OLTP Tables'!$C$3:$C$39,0))</f>
        <v>Person</v>
      </c>
      <c r="B18" s="7" t="str">
        <f>INDEX('OLTP Tables'!$B$3:$B$39,MATCH(SUBSTITUTE('DWH Tables Metadata'!C18,",",""),'OLTP Tables'!$C$3:$C$39,0))</f>
        <v>Address</v>
      </c>
      <c r="C18" s="6" t="s">
        <v>99</v>
      </c>
      <c r="D18" s="1" t="s">
        <v>198</v>
      </c>
      <c r="E18" s="1" t="s">
        <v>27</v>
      </c>
      <c r="F18" s="1" t="s">
        <v>198</v>
      </c>
      <c r="G18" s="8"/>
      <c r="H18" s="83"/>
      <c r="I18" s="84"/>
      <c r="J18" s="90" t="str">
        <f t="shared" si="0"/>
        <v>,('Address','ValidityDate_End','ValidityDate_End','')</v>
      </c>
    </row>
    <row r="19" spans="1:13" ht="14.4" customHeight="1" thickBot="1" x14ac:dyDescent="0.35">
      <c r="A19" s="15" t="s">
        <v>112</v>
      </c>
      <c r="B19" s="17"/>
      <c r="C19" s="15" t="s">
        <v>112</v>
      </c>
      <c r="D19" s="16"/>
      <c r="E19" s="16"/>
      <c r="F19" s="16"/>
      <c r="G19" s="17"/>
      <c r="H19" s="15" t="s">
        <v>112</v>
      </c>
      <c r="I19" s="17"/>
      <c r="J19" s="15" t="s">
        <v>112</v>
      </c>
      <c r="K19" s="17"/>
    </row>
    <row r="20" spans="1:13" ht="14.4" customHeight="1" x14ac:dyDescent="0.3">
      <c r="A20" s="6" t="str">
        <f>INDEX('OLTP Tables'!$A$3:$A$39,MATCH(SUBSTITUTE('DWH Tables Metadata'!C20,",",""),'OLTP Tables'!$C$3:$C$39,0))</f>
        <v>Sales</v>
      </c>
      <c r="B20" s="7" t="str">
        <f>INDEX('OLTP Tables'!$B$3:$B$39,MATCH(SUBSTITUTE('DWH Tables Metadata'!C20,",",""),'OLTP Tables'!$C$3:$C$39,0))</f>
        <v>Customer</v>
      </c>
      <c r="C20" s="6" t="s">
        <v>64</v>
      </c>
      <c r="D20" s="1" t="s">
        <v>65</v>
      </c>
      <c r="E20" s="1" t="s">
        <v>27</v>
      </c>
      <c r="F20" s="1" t="s">
        <v>48</v>
      </c>
      <c r="G20" s="8"/>
      <c r="H20" s="85" t="str" cm="1">
        <f t="array" ref="H20:I24">_xlfn.UNIQUE(A20:B36)</f>
        <v>Sales</v>
      </c>
      <c r="I20" s="86" t="str">
        <v>Customer</v>
      </c>
      <c r="J20" s="89" t="str">
        <f>_xlfn.CONCAT(
"('",B20,"','",D20,"',","'",F20,"','",G20,"')")</f>
        <v>('Customer','CustomerID','CustomerID ','')</v>
      </c>
      <c r="K20" s="89" t="str">
        <f>_xlfn.CONCAT(
"('",H20,"','",I20,"')")</f>
        <v>('Sales','Customer')</v>
      </c>
    </row>
    <row r="21" spans="1:13" ht="14.4" customHeight="1" x14ac:dyDescent="0.3">
      <c r="A21" s="6" t="str">
        <f>INDEX('OLTP Tables'!$A$3:$A$39,MATCH(SUBSTITUTE('DWH Tables Metadata'!C21,",",""),'OLTP Tables'!$C$3:$C$39,0))</f>
        <v>Sales</v>
      </c>
      <c r="B21" s="7" t="str">
        <f>INDEX('OLTP Tables'!$B$3:$B$39,MATCH(SUBSTITUTE('DWH Tables Metadata'!C21,",",""),'OLTP Tables'!$C$3:$C$39,0))</f>
        <v>Customer</v>
      </c>
      <c r="C21" s="6" t="s">
        <v>66</v>
      </c>
      <c r="D21" s="1" t="s">
        <v>67</v>
      </c>
      <c r="E21" s="1" t="s">
        <v>27</v>
      </c>
      <c r="F21" s="1" t="s">
        <v>49</v>
      </c>
      <c r="G21" s="8"/>
      <c r="H21" s="62" t="str">
        <v>Sales</v>
      </c>
      <c r="I21" s="63" t="str">
        <v>Store</v>
      </c>
      <c r="J21" s="90" t="str">
        <f>_xlfn.CONCAT(
",('",B21,"','",D21,"',","'",F21,"','",G21,"')")</f>
        <v>,('Customer','PersonID','CustomerPersonID','')</v>
      </c>
      <c r="K21" s="91" t="str">
        <f>_xlfn.CONCAT(
",('",H21,"','",I21,"')")</f>
        <v>,('Sales','Store')</v>
      </c>
    </row>
    <row r="22" spans="1:13" ht="14.4" customHeight="1" x14ac:dyDescent="0.3">
      <c r="A22" s="6" t="str">
        <f>INDEX('OLTP Tables'!$A$3:$A$39,MATCH(SUBSTITUTE('DWH Tables Metadata'!C22,",",""),'OLTP Tables'!$C$3:$C$39,0))</f>
        <v>Sales</v>
      </c>
      <c r="B22" s="7" t="str">
        <f>INDEX('OLTP Tables'!$B$3:$B$39,MATCH(SUBSTITUTE('DWH Tables Metadata'!C22,",",""),'OLTP Tables'!$C$3:$C$39,0))</f>
        <v>Customer</v>
      </c>
      <c r="C22" s="6" t="s">
        <v>66</v>
      </c>
      <c r="D22" s="1" t="s">
        <v>50</v>
      </c>
      <c r="E22" s="1" t="s">
        <v>27</v>
      </c>
      <c r="F22" s="1" t="s">
        <v>50</v>
      </c>
      <c r="G22" s="8"/>
      <c r="H22" s="62" t="str">
        <v>Person</v>
      </c>
      <c r="I22" s="63" t="str">
        <v>Person</v>
      </c>
      <c r="J22" s="90" t="str">
        <f t="shared" ref="J22:J36" si="1">_xlfn.CONCAT(
",('",B22,"','",D22,"',","'",F22,"','",G22,"')")</f>
        <v>,('Customer','StoreID','StoreID','')</v>
      </c>
      <c r="K22" s="91" t="str">
        <f>_xlfn.CONCAT(
",('",H22,"','",I22,"')")</f>
        <v>,('Person','Person')</v>
      </c>
    </row>
    <row r="23" spans="1:13" ht="14.4" customHeight="1" x14ac:dyDescent="0.3">
      <c r="A23" s="6" t="str">
        <f>INDEX('OLTP Tables'!$A$3:$A$39,MATCH(SUBSTITUTE('DWH Tables Metadata'!C23,",",""),'OLTP Tables'!$C$3:$C$39,0))</f>
        <v>Sales</v>
      </c>
      <c r="B23" s="7" t="str">
        <f>INDEX('OLTP Tables'!$B$3:$B$39,MATCH(SUBSTITUTE('DWH Tables Metadata'!C23,",",""),'OLTP Tables'!$C$3:$C$39,0))</f>
        <v>Store</v>
      </c>
      <c r="C23" s="6" t="s">
        <v>68</v>
      </c>
      <c r="D23" s="1" t="s">
        <v>51</v>
      </c>
      <c r="E23" s="1" t="s">
        <v>27</v>
      </c>
      <c r="F23" s="1" t="s">
        <v>51</v>
      </c>
      <c r="G23" s="8"/>
      <c r="H23" s="62" t="str">
        <v>Sales</v>
      </c>
      <c r="I23" s="63" t="str">
        <v>SalesTerritory</v>
      </c>
      <c r="J23" s="90" t="str">
        <f t="shared" si="1"/>
        <v>,('Store','SalesPersonID','SalesPersonID','')</v>
      </c>
      <c r="K23" s="91" t="str">
        <f>_xlfn.CONCAT(
",('",H23,"','",I23,"')")</f>
        <v>,('Sales','SalesTerritory')</v>
      </c>
    </row>
    <row r="24" spans="1:13" ht="14.4" customHeight="1" thickBot="1" x14ac:dyDescent="0.35">
      <c r="A24" s="6" t="str">
        <f>INDEX('OLTP Tables'!$A$3:$A$39,MATCH(SUBSTITUTE('DWH Tables Metadata'!C24,",",""),'OLTP Tables'!$C$3:$C$39,0))</f>
        <v>Sales</v>
      </c>
      <c r="B24" s="7" t="str">
        <f>INDEX('OLTP Tables'!$B$3:$B$39,MATCH(SUBSTITUTE('DWH Tables Metadata'!C24,",",""),'OLTP Tables'!$C$3:$C$39,0))</f>
        <v>Customer</v>
      </c>
      <c r="C24" s="6" t="s">
        <v>66</v>
      </c>
      <c r="D24" s="1" t="s">
        <v>52</v>
      </c>
      <c r="E24" s="1" t="s">
        <v>27</v>
      </c>
      <c r="F24" s="1" t="s">
        <v>52</v>
      </c>
      <c r="G24" s="8"/>
      <c r="H24" s="87" t="str">
        <v>Person</v>
      </c>
      <c r="I24" s="88" t="str">
        <v>CountryRegion</v>
      </c>
      <c r="J24" s="90" t="str">
        <f t="shared" si="1"/>
        <v>,('Customer','TerritoryID','TerritoryID','')</v>
      </c>
      <c r="K24" s="92" t="str">
        <f>_xlfn.CONCAT(
",('",H24,"','",I24,"')")</f>
        <v>,('Person','CountryRegion')</v>
      </c>
    </row>
    <row r="25" spans="1:13" ht="14.4" customHeight="1" x14ac:dyDescent="0.3">
      <c r="A25" s="6" t="str">
        <f>INDEX('OLTP Tables'!$A$3:$A$39,MATCH(SUBSTITUTE('DWH Tables Metadata'!C25,",",""),'OLTP Tables'!$C$3:$C$39,0))</f>
        <v>Person</v>
      </c>
      <c r="B25" s="7" t="str">
        <f>INDEX('OLTP Tables'!$B$3:$B$39,MATCH(SUBSTITUTE('DWH Tables Metadata'!C25,",",""),'OLTP Tables'!$C$3:$C$39,0))</f>
        <v>Person</v>
      </c>
      <c r="C25" s="6" t="s">
        <v>195</v>
      </c>
      <c r="D25" s="1" t="s">
        <v>53</v>
      </c>
      <c r="E25" s="1" t="s">
        <v>27</v>
      </c>
      <c r="F25" s="1" t="s">
        <v>53</v>
      </c>
      <c r="G25" s="8" t="s">
        <v>54</v>
      </c>
      <c r="H25" s="81"/>
      <c r="I25" s="82"/>
      <c r="J25" s="90" t="str">
        <f t="shared" si="1"/>
        <v>,('Person','PersonType','PersonType','----Primary type of person: SC = Store Contact, IN = Individual (retail) customer, SP = Sales person, EM = Employee (non-sales), VC = Vendor contact, GC = General contact')</v>
      </c>
      <c r="K25" s="4"/>
      <c r="L25" s="4"/>
      <c r="M25" s="4"/>
    </row>
    <row r="26" spans="1:13" ht="14.4" customHeight="1" x14ac:dyDescent="0.3">
      <c r="A26" s="6" t="str">
        <f>INDEX('OLTP Tables'!$A$3:$A$39,MATCH(SUBSTITUTE('DWH Tables Metadata'!C26,",",""),'OLTP Tables'!$C$3:$C$39,0))</f>
        <v>Person</v>
      </c>
      <c r="B26" s="7" t="str">
        <f>INDEX('OLTP Tables'!$B$3:$B$39,MATCH(SUBSTITUTE('DWH Tables Metadata'!C26,",",""),'OLTP Tables'!$C$3:$C$39,0))</f>
        <v>Person</v>
      </c>
      <c r="C26" s="6" t="s">
        <v>195</v>
      </c>
      <c r="D26" s="1" t="s">
        <v>55</v>
      </c>
      <c r="E26" s="1" t="s">
        <v>27</v>
      </c>
      <c r="F26" s="1" t="s">
        <v>55</v>
      </c>
      <c r="G26" s="8"/>
      <c r="H26" s="81"/>
      <c r="I26" s="82"/>
      <c r="J26" s="90" t="str">
        <f t="shared" si="1"/>
        <v>,('Person','Title','Title','')</v>
      </c>
      <c r="K26" s="4"/>
      <c r="L26" s="4"/>
      <c r="M26" s="4"/>
    </row>
    <row r="27" spans="1:13" ht="14.4" customHeight="1" x14ac:dyDescent="0.3">
      <c r="A27" s="6" t="str">
        <f>INDEX('OLTP Tables'!$A$3:$A$39,MATCH(SUBSTITUTE('DWH Tables Metadata'!C27,",",""),'OLTP Tables'!$C$3:$C$39,0))</f>
        <v>Person</v>
      </c>
      <c r="B27" s="7" t="str">
        <f>INDEX('OLTP Tables'!$B$3:$B$39,MATCH(SUBSTITUTE('DWH Tables Metadata'!C27,",",""),'OLTP Tables'!$C$3:$C$39,0))</f>
        <v>Person</v>
      </c>
      <c r="C27" s="6" t="s">
        <v>195</v>
      </c>
      <c r="D27" s="1" t="s">
        <v>56</v>
      </c>
      <c r="E27" s="1" t="s">
        <v>27</v>
      </c>
      <c r="F27" s="1" t="s">
        <v>56</v>
      </c>
      <c r="G27" s="8"/>
      <c r="H27" s="81"/>
      <c r="I27" s="82"/>
      <c r="J27" s="90" t="str">
        <f t="shared" si="1"/>
        <v>,('Person','FirstName','FirstName','')</v>
      </c>
      <c r="K27" s="4"/>
      <c r="L27" s="4"/>
      <c r="M27" s="4"/>
    </row>
    <row r="28" spans="1:13" ht="14.4" customHeight="1" x14ac:dyDescent="0.3">
      <c r="A28" s="6" t="str">
        <f>INDEX('OLTP Tables'!$A$3:$A$39,MATCH(SUBSTITUTE('DWH Tables Metadata'!C28,",",""),'OLTP Tables'!$C$3:$C$39,0))</f>
        <v>Person</v>
      </c>
      <c r="B28" s="7" t="str">
        <f>INDEX('OLTP Tables'!$B$3:$B$39,MATCH(SUBSTITUTE('DWH Tables Metadata'!C28,",",""),'OLTP Tables'!$C$3:$C$39,0))</f>
        <v>Person</v>
      </c>
      <c r="C28" s="6" t="s">
        <v>195</v>
      </c>
      <c r="D28" s="1" t="s">
        <v>57</v>
      </c>
      <c r="E28" s="1" t="s">
        <v>27</v>
      </c>
      <c r="F28" s="1" t="s">
        <v>57</v>
      </c>
      <c r="G28" s="9"/>
      <c r="H28" s="81"/>
      <c r="I28" s="82"/>
      <c r="J28" s="90" t="str">
        <f t="shared" si="1"/>
        <v>,('Person','MiddleName','MiddleName','')</v>
      </c>
      <c r="K28" s="4"/>
      <c r="L28" s="4"/>
      <c r="M28" s="4"/>
    </row>
    <row r="29" spans="1:13" ht="14.4" customHeight="1" x14ac:dyDescent="0.3">
      <c r="A29" s="6" t="str">
        <f>INDEX('OLTP Tables'!$A$3:$A$39,MATCH(SUBSTITUTE('DWH Tables Metadata'!C29,",",""),'OLTP Tables'!$C$3:$C$39,0))</f>
        <v>Person</v>
      </c>
      <c r="B29" s="7" t="str">
        <f>INDEX('OLTP Tables'!$B$3:$B$39,MATCH(SUBSTITUTE('DWH Tables Metadata'!C29,",",""),'OLTP Tables'!$C$3:$C$39,0))</f>
        <v>Person</v>
      </c>
      <c r="C29" s="6" t="s">
        <v>195</v>
      </c>
      <c r="D29" s="1" t="s">
        <v>58</v>
      </c>
      <c r="E29" s="1" t="s">
        <v>27</v>
      </c>
      <c r="F29" s="1" t="s">
        <v>58</v>
      </c>
      <c r="G29" s="9"/>
      <c r="H29" s="81"/>
      <c r="I29" s="82"/>
      <c r="J29" s="90" t="str">
        <f t="shared" si="1"/>
        <v>,('Person','LastName','LastName','')</v>
      </c>
      <c r="K29" s="4"/>
      <c r="L29" s="4"/>
      <c r="M29" s="4"/>
    </row>
    <row r="30" spans="1:13" ht="14.4" customHeight="1" x14ac:dyDescent="0.3">
      <c r="A30" s="6" t="str">
        <f>INDEX('OLTP Tables'!$A$3:$A$39,MATCH(SUBSTITUTE('DWH Tables Metadata'!C30,",",""),'OLTP Tables'!$C$3:$C$39,0))</f>
        <v>Sales</v>
      </c>
      <c r="B30" s="7" t="str">
        <f>INDEX('OLTP Tables'!$B$3:$B$39,MATCH(SUBSTITUTE('DWH Tables Metadata'!C30,",",""),'OLTP Tables'!$C$3:$C$39,0))</f>
        <v>Store</v>
      </c>
      <c r="C30" s="6" t="s">
        <v>68</v>
      </c>
      <c r="D30" s="1" t="s">
        <v>0</v>
      </c>
      <c r="E30" s="1" t="s">
        <v>27</v>
      </c>
      <c r="F30" s="1" t="s">
        <v>59</v>
      </c>
      <c r="G30" s="8"/>
      <c r="H30" s="81"/>
      <c r="I30" s="82"/>
      <c r="J30" s="90" t="str">
        <f t="shared" si="1"/>
        <v>,('Store','Name','StoreName','')</v>
      </c>
      <c r="K30" s="4"/>
      <c r="L30" s="4"/>
      <c r="M30" s="4"/>
    </row>
    <row r="31" spans="1:13" ht="14.4" customHeight="1" x14ac:dyDescent="0.3">
      <c r="A31" s="6" t="str">
        <f>INDEX('OLTP Tables'!$A$3:$A$39,MATCH(SUBSTITUTE('DWH Tables Metadata'!C31,",",""),'OLTP Tables'!$C$3:$C$39,0))</f>
        <v>Sales</v>
      </c>
      <c r="B31" s="7" t="str">
        <f>INDEX('OLTP Tables'!$B$3:$B$39,MATCH(SUBSTITUTE('DWH Tables Metadata'!C31,",",""),'OLTP Tables'!$C$3:$C$39,0))</f>
        <v>SalesTerritory</v>
      </c>
      <c r="C31" s="6" t="s">
        <v>69</v>
      </c>
      <c r="D31" s="1" t="s">
        <v>0</v>
      </c>
      <c r="E31" s="1" t="s">
        <v>27</v>
      </c>
      <c r="F31" s="1" t="s">
        <v>60</v>
      </c>
      <c r="G31" s="8"/>
      <c r="H31" s="81"/>
      <c r="I31" s="82"/>
      <c r="J31" s="90" t="str">
        <f t="shared" si="1"/>
        <v>,('SalesTerritory','Name','TerritoryName','')</v>
      </c>
      <c r="K31" s="4"/>
      <c r="L31" s="4"/>
      <c r="M31" s="4"/>
    </row>
    <row r="32" spans="1:13" ht="14.4" customHeight="1" x14ac:dyDescent="0.3">
      <c r="A32" s="6" t="str">
        <f>INDEX('OLTP Tables'!$A$3:$A$39,MATCH(SUBSTITUTE('DWH Tables Metadata'!C32,",",""),'OLTP Tables'!$C$3:$C$39,0))</f>
        <v>Person</v>
      </c>
      <c r="B32" s="7" t="str">
        <f>INDEX('OLTP Tables'!$B$3:$B$39,MATCH(SUBSTITUTE('DWH Tables Metadata'!C32,",",""),'OLTP Tables'!$C$3:$C$39,0))</f>
        <v>CountryRegion</v>
      </c>
      <c r="C32" s="6" t="s">
        <v>70</v>
      </c>
      <c r="D32" s="1" t="s">
        <v>0</v>
      </c>
      <c r="E32" s="1" t="s">
        <v>27</v>
      </c>
      <c r="F32" s="1" t="s">
        <v>61</v>
      </c>
      <c r="G32" s="8"/>
      <c r="H32" s="81"/>
      <c r="I32" s="82"/>
      <c r="J32" s="90" t="str">
        <f t="shared" si="1"/>
        <v>,('CountryRegion','Name','CountryRegionName','')</v>
      </c>
      <c r="K32" s="4"/>
      <c r="L32" s="4"/>
      <c r="M32" s="4"/>
    </row>
    <row r="33" spans="1:13" ht="14.4" customHeight="1" x14ac:dyDescent="0.3">
      <c r="A33" s="6" t="str">
        <f>INDEX('OLTP Tables'!$A$3:$A$39,MATCH(SUBSTITUTE('DWH Tables Metadata'!C33,",",""),'OLTP Tables'!$C$3:$C$39,0))</f>
        <v>Sales</v>
      </c>
      <c r="B33" s="7" t="str">
        <f>INDEX('OLTP Tables'!$B$3:$B$39,MATCH(SUBSTITUTE('DWH Tables Metadata'!C33,",",""),'OLTP Tables'!$C$3:$C$39,0))</f>
        <v>SalesTerritory</v>
      </c>
      <c r="C33" s="6" t="s">
        <v>69</v>
      </c>
      <c r="D33" s="1" t="s">
        <v>62</v>
      </c>
      <c r="E33" s="1" t="s">
        <v>27</v>
      </c>
      <c r="F33" s="1" t="s">
        <v>62</v>
      </c>
      <c r="G33" s="8"/>
      <c r="H33" s="81"/>
      <c r="I33" s="82"/>
      <c r="J33" s="90" t="str">
        <f t="shared" si="1"/>
        <v>,('SalesTerritory','CountryRegionCode','CountryRegionCode','')</v>
      </c>
      <c r="K33" s="4"/>
      <c r="L33" s="4"/>
      <c r="M33" s="4"/>
    </row>
    <row r="34" spans="1:13" ht="14.4" customHeight="1" x14ac:dyDescent="0.3">
      <c r="A34" s="6" t="str">
        <f>INDEX('OLTP Tables'!$A$3:$A$39,MATCH(SUBSTITUTE('DWH Tables Metadata'!C34,",",""),'OLTP Tables'!$C$3:$C$39,0))</f>
        <v>Sales</v>
      </c>
      <c r="B34" s="7" t="str">
        <f>INDEX('OLTP Tables'!$B$3:$B$39,MATCH(SUBSTITUTE('DWH Tables Metadata'!C34,",",""),'OLTP Tables'!$C$3:$C$39,0))</f>
        <v>SalesTerritory</v>
      </c>
      <c r="C34" s="6" t="s">
        <v>69</v>
      </c>
      <c r="D34" s="1" t="s">
        <v>71</v>
      </c>
      <c r="E34" s="1" t="s">
        <v>27</v>
      </c>
      <c r="F34" s="1" t="s">
        <v>63</v>
      </c>
      <c r="G34" s="8"/>
      <c r="H34" s="81"/>
      <c r="I34" s="82"/>
      <c r="J34" s="90" t="str">
        <f t="shared" si="1"/>
        <v>,('SalesTerritory','[Group]','TerritoryGroup','')</v>
      </c>
      <c r="K34" s="4"/>
      <c r="L34" s="4"/>
      <c r="M34" s="4"/>
    </row>
    <row r="35" spans="1:13" ht="14.4" customHeight="1" x14ac:dyDescent="0.3">
      <c r="A35" s="6" t="str">
        <f>INDEX('OLTP Tables'!$A$3:$A$39,MATCH(SUBSTITUTE('DWH Tables Metadata'!C35,",",""),'OLTP Tables'!$C$3:$C$39,0))</f>
        <v>Sales</v>
      </c>
      <c r="B35" s="7" t="str">
        <f>INDEX('OLTP Tables'!$B$3:$B$39,MATCH(SUBSTITUTE('DWH Tables Metadata'!C35,",",""),'OLTP Tables'!$C$3:$C$39,0))</f>
        <v>Customer</v>
      </c>
      <c r="C35" s="6" t="s">
        <v>66</v>
      </c>
      <c r="D35" s="1" t="s">
        <v>197</v>
      </c>
      <c r="E35" s="1" t="s">
        <v>27</v>
      </c>
      <c r="F35" s="1" t="s">
        <v>197</v>
      </c>
      <c r="G35" s="8"/>
      <c r="H35" s="81"/>
      <c r="I35" s="82"/>
      <c r="J35" s="90" t="str">
        <f t="shared" si="1"/>
        <v>,('Customer','ValidityDate_Start','ValidityDate_Start','')</v>
      </c>
      <c r="K35" s="4"/>
      <c r="L35" s="4"/>
      <c r="M35" s="4"/>
    </row>
    <row r="36" spans="1:13" ht="14.4" customHeight="1" thickBot="1" x14ac:dyDescent="0.35">
      <c r="A36" s="6" t="str">
        <f>INDEX('OLTP Tables'!$A$3:$A$39,MATCH(SUBSTITUTE('DWH Tables Metadata'!C36,",",""),'OLTP Tables'!$C$3:$C$39,0))</f>
        <v>Sales</v>
      </c>
      <c r="B36" s="7" t="str">
        <f>INDEX('OLTP Tables'!$B$3:$B$39,MATCH(SUBSTITUTE('DWH Tables Metadata'!C36,",",""),'OLTP Tables'!$C$3:$C$39,0))</f>
        <v>Customer</v>
      </c>
      <c r="C36" s="6" t="s">
        <v>66</v>
      </c>
      <c r="D36" s="1" t="s">
        <v>198</v>
      </c>
      <c r="E36" s="1" t="s">
        <v>27</v>
      </c>
      <c r="F36" s="1" t="s">
        <v>198</v>
      </c>
      <c r="G36" s="8"/>
      <c r="H36" s="83"/>
      <c r="I36" s="84"/>
      <c r="J36" s="93" t="str">
        <f t="shared" si="1"/>
        <v>,('Customer','ValidityDate_End','ValidityDate_End','')</v>
      </c>
      <c r="K36" s="4"/>
      <c r="L36" s="4"/>
      <c r="M36" s="4"/>
    </row>
    <row r="37" spans="1:13" ht="14.4" customHeight="1" thickBot="1" x14ac:dyDescent="0.35">
      <c r="A37" s="15" t="s">
        <v>114</v>
      </c>
      <c r="B37" s="17"/>
      <c r="C37" s="15" t="s">
        <v>114</v>
      </c>
      <c r="D37" s="16"/>
      <c r="E37" s="16"/>
      <c r="F37" s="16"/>
      <c r="G37" s="17"/>
      <c r="H37" s="15" t="s">
        <v>114</v>
      </c>
      <c r="I37" s="17"/>
      <c r="J37" s="15" t="s">
        <v>114</v>
      </c>
      <c r="K37" s="17"/>
    </row>
    <row r="38" spans="1:13" ht="14.4" customHeight="1" x14ac:dyDescent="0.3">
      <c r="A38" s="6" t="str">
        <f>INDEX('OLTP Tables'!$A$3:$A$39,MATCH(SUBSTITUTE('DWH Tables Metadata'!C38,",",""),'OLTP Tables'!$C$3:$C$39,0))</f>
        <v>Production</v>
      </c>
      <c r="B38" s="7" t="str">
        <f>INDEX('OLTP Tables'!$B$3:$B$39,MATCH(SUBSTITUTE('DWH Tables Metadata'!C38,",",""),'OLTP Tables'!$C$3:$C$39,0))</f>
        <v>Product</v>
      </c>
      <c r="C38" s="10" t="s">
        <v>26</v>
      </c>
      <c r="D38" s="12" t="s">
        <v>4</v>
      </c>
      <c r="E38" s="12" t="s">
        <v>27</v>
      </c>
      <c r="F38" s="12" t="s">
        <v>4</v>
      </c>
      <c r="G38" s="13"/>
      <c r="H38" s="85" t="str" cm="1">
        <f t="array" ref="H38:I41">_xlfn.UNIQUE(A38:B60)</f>
        <v>Production</v>
      </c>
      <c r="I38" s="86" t="str">
        <v>Product</v>
      </c>
      <c r="J38" s="89" t="str">
        <f>_xlfn.CONCAT(
"('",B38,"','",D38,"',","'",F38,"','",G38,"')")</f>
        <v>('Product','ProductNumber','ProductNumber','')</v>
      </c>
      <c r="K38" s="94" t="str">
        <f>_xlfn.CONCAT(
"('",H38,"','",I38,"')")</f>
        <v>('Production','Product')</v>
      </c>
    </row>
    <row r="39" spans="1:13" ht="14.4" customHeight="1" x14ac:dyDescent="0.3">
      <c r="A39" s="6" t="str">
        <f>INDEX('OLTP Tables'!$A$3:$A$39,MATCH(SUBSTITUTE('DWH Tables Metadata'!C39,",",""),'OLTP Tables'!$C$3:$C$39,0))</f>
        <v>Production</v>
      </c>
      <c r="B39" s="7" t="str">
        <f>INDEX('OLTP Tables'!$B$3:$B$39,MATCH(SUBSTITUTE('DWH Tables Metadata'!C39,",",""),'OLTP Tables'!$C$3:$C$39,0))</f>
        <v>Product</v>
      </c>
      <c r="C39" s="6" t="s">
        <v>28</v>
      </c>
      <c r="D39" s="1" t="s">
        <v>3</v>
      </c>
      <c r="E39" s="1" t="s">
        <v>27</v>
      </c>
      <c r="F39" s="1" t="s">
        <v>3</v>
      </c>
      <c r="G39" s="8"/>
      <c r="H39" s="62" t="str">
        <v>Production</v>
      </c>
      <c r="I39" s="63" t="str">
        <v>ProductCategory</v>
      </c>
      <c r="J39" s="90" t="str">
        <f>_xlfn.CONCAT(
",('",B39,"','",D39,"',","'",F39,"','",G39,"')")</f>
        <v>,('Product','ProductID','ProductID','')</v>
      </c>
      <c r="K39" s="91" t="str">
        <f>_xlfn.CONCAT(
",('",H39,"','",I39,"')")</f>
        <v>,('Production','ProductCategory')</v>
      </c>
    </row>
    <row r="40" spans="1:13" ht="14.4" customHeight="1" x14ac:dyDescent="0.3">
      <c r="A40" s="6" t="str">
        <f>INDEX('OLTP Tables'!$A$3:$A$39,MATCH(SUBSTITUTE('DWH Tables Metadata'!C40,",",""),'OLTP Tables'!$C$3:$C$39,0))</f>
        <v>Production</v>
      </c>
      <c r="B40" s="7" t="str">
        <f>INDEX('OLTP Tables'!$B$3:$B$39,MATCH(SUBSTITUTE('DWH Tables Metadata'!C40,",",""),'OLTP Tables'!$C$3:$C$39,0))</f>
        <v>ProductCategory</v>
      </c>
      <c r="C40" s="6" t="s">
        <v>29</v>
      </c>
      <c r="D40" s="1" t="s">
        <v>18</v>
      </c>
      <c r="E40" s="1" t="s">
        <v>27</v>
      </c>
      <c r="F40" s="1" t="s">
        <v>18</v>
      </c>
      <c r="G40" s="8"/>
      <c r="H40" s="62" t="str">
        <v>Production</v>
      </c>
      <c r="I40" s="63" t="str">
        <v>ProductSubcategory</v>
      </c>
      <c r="J40" s="90" t="str">
        <f t="shared" ref="J40:J60" si="2">_xlfn.CONCAT(
",('",B40,"','",D40,"',","'",F40,"','",G40,"')")</f>
        <v>,('ProductCategory','ProductCategoryID','ProductCategoryID','')</v>
      </c>
      <c r="K40" s="91" t="str">
        <f>_xlfn.CONCAT(
",('",H40,"','",I40,"')")</f>
        <v>,('Production','ProductSubcategory')</v>
      </c>
    </row>
    <row r="41" spans="1:13" ht="14.4" customHeight="1" thickBot="1" x14ac:dyDescent="0.35">
      <c r="A41" s="6" t="str">
        <f>INDEX('OLTP Tables'!$A$3:$A$39,MATCH(SUBSTITUTE('DWH Tables Metadata'!C41,",",""),'OLTP Tables'!$C$3:$C$39,0))</f>
        <v>Production</v>
      </c>
      <c r="B41" s="7" t="str">
        <f>INDEX('OLTP Tables'!$B$3:$B$39,MATCH(SUBSTITUTE('DWH Tables Metadata'!C41,",",""),'OLTP Tables'!$C$3:$C$39,0))</f>
        <v>ProductSubcategory</v>
      </c>
      <c r="C41" s="6" t="s">
        <v>30</v>
      </c>
      <c r="D41" s="1" t="s">
        <v>16</v>
      </c>
      <c r="E41" s="1" t="s">
        <v>27</v>
      </c>
      <c r="F41" s="1" t="s">
        <v>16</v>
      </c>
      <c r="G41" s="8"/>
      <c r="H41" s="87" t="str">
        <v>Production</v>
      </c>
      <c r="I41" s="88" t="str">
        <v>UnitMeasure</v>
      </c>
      <c r="J41" s="90" t="str">
        <f t="shared" si="2"/>
        <v>,('ProductSubcategory','ProductSubcategoryID','ProductSubcategoryID','')</v>
      </c>
      <c r="K41" s="92" t="str">
        <f>_xlfn.CONCAT(
",('",H41,"','",I41,"')")</f>
        <v>,('Production','UnitMeasure')</v>
      </c>
    </row>
    <row r="42" spans="1:13" ht="14.4" customHeight="1" x14ac:dyDescent="0.3">
      <c r="A42" s="6" t="str">
        <f>INDEX('OLTP Tables'!$A$3:$A$39,MATCH(SUBSTITUTE('DWH Tables Metadata'!C42,",",""),'OLTP Tables'!$C$3:$C$39,0))</f>
        <v>Production</v>
      </c>
      <c r="B42" s="7" t="str">
        <f>INDEX('OLTP Tables'!$B$3:$B$39,MATCH(SUBSTITUTE('DWH Tables Metadata'!C42,",",""),'OLTP Tables'!$C$3:$C$39,0))</f>
        <v>Product</v>
      </c>
      <c r="C42" s="6" t="s">
        <v>28</v>
      </c>
      <c r="D42" s="1" t="s">
        <v>0</v>
      </c>
      <c r="E42" s="1" t="s">
        <v>27</v>
      </c>
      <c r="F42" s="1" t="s">
        <v>25</v>
      </c>
      <c r="G42" s="8"/>
      <c r="H42" s="81"/>
      <c r="I42" s="82"/>
      <c r="J42" s="90" t="str">
        <f t="shared" si="2"/>
        <v>,('Product','Name','ProductName','')</v>
      </c>
    </row>
    <row r="43" spans="1:13" ht="14.4" customHeight="1" x14ac:dyDescent="0.3">
      <c r="A43" s="6" t="str">
        <f>INDEX('OLTP Tables'!$A$3:$A$39,MATCH(SUBSTITUTE('DWH Tables Metadata'!C43,",",""),'OLTP Tables'!$C$3:$C$39,0))</f>
        <v>Production</v>
      </c>
      <c r="B43" s="7" t="str">
        <f>INDEX('OLTP Tables'!$B$3:$B$39,MATCH(SUBSTITUTE('DWH Tables Metadata'!C43,",",""),'OLTP Tables'!$C$3:$C$39,0))</f>
        <v>ProductCategory</v>
      </c>
      <c r="C43" s="6" t="s">
        <v>29</v>
      </c>
      <c r="D43" s="1" t="s">
        <v>0</v>
      </c>
      <c r="E43" s="1" t="s">
        <v>27</v>
      </c>
      <c r="F43" s="1" t="s">
        <v>21</v>
      </c>
      <c r="G43" s="8"/>
      <c r="H43" s="81"/>
      <c r="I43" s="82"/>
      <c r="J43" s="90" t="str">
        <f t="shared" si="2"/>
        <v>,('ProductCategory','Name','ProductCategoryName','')</v>
      </c>
    </row>
    <row r="44" spans="1:13" ht="14.4" customHeight="1" x14ac:dyDescent="0.3">
      <c r="A44" s="6" t="str">
        <f>INDEX('OLTP Tables'!$A$3:$A$39,MATCH(SUBSTITUTE('DWH Tables Metadata'!C44,",",""),'OLTP Tables'!$C$3:$C$39,0))</f>
        <v>Production</v>
      </c>
      <c r="B44" s="7" t="str">
        <f>INDEX('OLTP Tables'!$B$3:$B$39,MATCH(SUBSTITUTE('DWH Tables Metadata'!C44,",",""),'OLTP Tables'!$C$3:$C$39,0))</f>
        <v>ProductSubcategory</v>
      </c>
      <c r="C44" s="6" t="s">
        <v>30</v>
      </c>
      <c r="D44" s="1" t="s">
        <v>0</v>
      </c>
      <c r="E44" s="1" t="s">
        <v>27</v>
      </c>
      <c r="F44" s="1" t="s">
        <v>31</v>
      </c>
      <c r="G44" s="8"/>
      <c r="H44" s="81"/>
      <c r="I44" s="82"/>
      <c r="J44" s="90" t="str">
        <f t="shared" si="2"/>
        <v>,('ProductSubcategory','Name','ProductSubcategoryName','')</v>
      </c>
    </row>
    <row r="45" spans="1:13" ht="14.4" customHeight="1" x14ac:dyDescent="0.3">
      <c r="A45" s="6" t="str">
        <f>INDEX('OLTP Tables'!$A$3:$A$39,MATCH(SUBSTITUTE('DWH Tables Metadata'!C45,",",""),'OLTP Tables'!$C$3:$C$39,0))</f>
        <v>Production</v>
      </c>
      <c r="B45" s="7" t="str">
        <f>INDEX('OLTP Tables'!$B$3:$B$39,MATCH(SUBSTITUTE('DWH Tables Metadata'!C45,",",""),'OLTP Tables'!$C$3:$C$39,0))</f>
        <v>Product</v>
      </c>
      <c r="C45" s="6" t="s">
        <v>28</v>
      </c>
      <c r="D45" s="1" t="s">
        <v>5</v>
      </c>
      <c r="E45" s="1" t="s">
        <v>27</v>
      </c>
      <c r="F45" s="1" t="s">
        <v>32</v>
      </c>
      <c r="G45" s="8"/>
      <c r="H45" s="81"/>
      <c r="I45" s="82"/>
      <c r="J45" s="90" t="str">
        <f t="shared" si="2"/>
        <v>,('Product','Color','ProductColor','')</v>
      </c>
    </row>
    <row r="46" spans="1:13" ht="14.4" customHeight="1" x14ac:dyDescent="0.3">
      <c r="A46" s="6" t="str">
        <f>INDEX('OLTP Tables'!$A$3:$A$39,MATCH(SUBSTITUTE('DWH Tables Metadata'!C46,",",""),'OLTP Tables'!$C$3:$C$39,0))</f>
        <v>Production</v>
      </c>
      <c r="B46" s="7" t="str">
        <f>INDEX('OLTP Tables'!$B$3:$B$39,MATCH(SUBSTITUTE('DWH Tables Metadata'!C46,",",""),'OLTP Tables'!$C$3:$C$39,0))</f>
        <v>Product</v>
      </c>
      <c r="C46" s="6" t="s">
        <v>28</v>
      </c>
      <c r="D46" s="1" t="s">
        <v>11</v>
      </c>
      <c r="E46" s="1" t="s">
        <v>27</v>
      </c>
      <c r="F46" s="1" t="s">
        <v>33</v>
      </c>
      <c r="G46" s="9" t="s">
        <v>42</v>
      </c>
      <c r="H46" s="81"/>
      <c r="I46" s="82"/>
      <c r="J46" s="90" t="str">
        <f t="shared" si="2"/>
        <v>,('Product','Style','ProductStyle','---- W = Womens, M = Mens, U = Universal')</v>
      </c>
    </row>
    <row r="47" spans="1:13" ht="14.4" customHeight="1" x14ac:dyDescent="0.3">
      <c r="A47" s="6" t="str">
        <f>INDEX('OLTP Tables'!$A$3:$A$39,MATCH(SUBSTITUTE('DWH Tables Metadata'!C47,",",""),'OLTP Tables'!$C$3:$C$39,0))</f>
        <v>Production</v>
      </c>
      <c r="B47" s="7" t="str">
        <f>INDEX('OLTP Tables'!$B$3:$B$39,MATCH(SUBSTITUTE('DWH Tables Metadata'!C47,",",""),'OLTP Tables'!$C$3:$C$39,0))</f>
        <v>Product</v>
      </c>
      <c r="C47" s="6" t="s">
        <v>28</v>
      </c>
      <c r="D47" s="1" t="s">
        <v>10</v>
      </c>
      <c r="E47" s="1" t="s">
        <v>27</v>
      </c>
      <c r="F47" s="1" t="s">
        <v>10</v>
      </c>
      <c r="G47" s="9" t="s">
        <v>41</v>
      </c>
      <c r="H47" s="81"/>
      <c r="I47" s="82"/>
      <c r="J47" s="90" t="str">
        <f t="shared" si="2"/>
        <v>,('Product','ProductLine','ProductLine','---- R = Road, M = Mountain, T = Touring, S = Standard')</v>
      </c>
    </row>
    <row r="48" spans="1:13" ht="14.4" customHeight="1" x14ac:dyDescent="0.3">
      <c r="A48" s="6" t="str">
        <f>INDEX('OLTP Tables'!$A$3:$A$39,MATCH(SUBSTITUTE('DWH Tables Metadata'!C48,",",""),'OLTP Tables'!$C$3:$C$39,0))</f>
        <v>Production</v>
      </c>
      <c r="B48" s="7" t="str">
        <f>INDEX('OLTP Tables'!$B$3:$B$39,MATCH(SUBSTITUTE('DWH Tables Metadata'!C48,",",""),'OLTP Tables'!$C$3:$C$39,0))</f>
        <v>Product</v>
      </c>
      <c r="C48" s="6" t="s">
        <v>28</v>
      </c>
      <c r="D48" s="1" t="s">
        <v>6</v>
      </c>
      <c r="E48" s="1" t="s">
        <v>27</v>
      </c>
      <c r="F48" s="1" t="s">
        <v>34</v>
      </c>
      <c r="G48" s="8"/>
      <c r="H48" s="81"/>
      <c r="I48" s="82"/>
      <c r="J48" s="90" t="str">
        <f t="shared" si="2"/>
        <v>,('Product','StandardCost','StandardCost ','')</v>
      </c>
    </row>
    <row r="49" spans="1:11" ht="14.4" customHeight="1" x14ac:dyDescent="0.3">
      <c r="A49" s="6" t="str">
        <f>INDEX('OLTP Tables'!$A$3:$A$39,MATCH(SUBSTITUTE('DWH Tables Metadata'!C49,",",""),'OLTP Tables'!$C$3:$C$39,0))</f>
        <v>Production</v>
      </c>
      <c r="B49" s="7" t="str">
        <f>INDEX('OLTP Tables'!$B$3:$B$39,MATCH(SUBSTITUTE('DWH Tables Metadata'!C49,",",""),'OLTP Tables'!$C$3:$C$39,0))</f>
        <v>Product</v>
      </c>
      <c r="C49" s="6" t="s">
        <v>28</v>
      </c>
      <c r="D49" s="1" t="s">
        <v>7</v>
      </c>
      <c r="E49" s="1" t="s">
        <v>27</v>
      </c>
      <c r="F49" s="1" t="s">
        <v>7</v>
      </c>
      <c r="G49" s="8"/>
      <c r="H49" s="81"/>
      <c r="I49" s="82"/>
      <c r="J49" s="90" t="str">
        <f t="shared" si="2"/>
        <v>,('Product','ListPrice','ListPrice','')</v>
      </c>
    </row>
    <row r="50" spans="1:11" ht="14.4" customHeight="1" x14ac:dyDescent="0.3">
      <c r="A50" s="6" t="str">
        <f>INDEX('OLTP Tables'!$A$3:$A$39,MATCH(SUBSTITUTE('DWH Tables Metadata'!C50,",",""),'OLTP Tables'!$C$3:$C$39,0))</f>
        <v>Production</v>
      </c>
      <c r="B50" s="7" t="str">
        <f>INDEX('OLTP Tables'!$B$3:$B$39,MATCH(SUBSTITUTE('DWH Tables Metadata'!C50,",",""),'OLTP Tables'!$C$3:$C$39,0))</f>
        <v>Product</v>
      </c>
      <c r="C50" s="6" t="s">
        <v>28</v>
      </c>
      <c r="D50" s="1" t="s">
        <v>8</v>
      </c>
      <c r="E50" s="1" t="s">
        <v>27</v>
      </c>
      <c r="F50" s="1" t="s">
        <v>35</v>
      </c>
      <c r="G50" s="8"/>
      <c r="H50" s="81"/>
      <c r="I50" s="82"/>
      <c r="J50" s="90" t="str">
        <f t="shared" si="2"/>
        <v>,('Product','Size','ProductSize','')</v>
      </c>
    </row>
    <row r="51" spans="1:11" ht="14.4" customHeight="1" x14ac:dyDescent="0.3">
      <c r="A51" s="6" t="str">
        <f>INDEX('OLTP Tables'!$A$3:$A$39,MATCH(SUBSTITUTE('DWH Tables Metadata'!C51,",",""),'OLTP Tables'!$C$3:$C$39,0))</f>
        <v>Production</v>
      </c>
      <c r="B51" s="7" t="str">
        <f>INDEX('OLTP Tables'!$B$3:$B$39,MATCH(SUBSTITUTE('DWH Tables Metadata'!C51,",",""),'OLTP Tables'!$C$3:$C$39,0))</f>
        <v>UnitMeasure</v>
      </c>
      <c r="C51" s="6" t="s">
        <v>36</v>
      </c>
      <c r="D51" s="1" t="s">
        <v>20</v>
      </c>
      <c r="E51" s="1" t="s">
        <v>27</v>
      </c>
      <c r="F51" s="1" t="s">
        <v>37</v>
      </c>
      <c r="G51" s="8"/>
      <c r="H51" s="81"/>
      <c r="I51" s="82"/>
      <c r="J51" s="90" t="str">
        <f t="shared" si="2"/>
        <v>,('UnitMeasure','UnitMeasureCode','UnitSizeCode','')</v>
      </c>
    </row>
    <row r="52" spans="1:11" ht="14.4" customHeight="1" x14ac:dyDescent="0.3">
      <c r="A52" s="6" t="str">
        <f>INDEX('OLTP Tables'!$A$3:$A$39,MATCH(SUBSTITUTE('DWH Tables Metadata'!C52,",",""),'OLTP Tables'!$C$3:$C$39,0))</f>
        <v>Production</v>
      </c>
      <c r="B52" s="7" t="str">
        <f>INDEX('OLTP Tables'!$B$3:$B$39,MATCH(SUBSTITUTE('DWH Tables Metadata'!C52,",",""),'OLTP Tables'!$C$3:$C$39,0))</f>
        <v>UnitMeasure</v>
      </c>
      <c r="C52" s="6" t="s">
        <v>36</v>
      </c>
      <c r="D52" s="1" t="s">
        <v>0</v>
      </c>
      <c r="E52" s="1" t="s">
        <v>27</v>
      </c>
      <c r="F52" s="1" t="s">
        <v>22</v>
      </c>
      <c r="G52" s="8"/>
      <c r="H52" s="81"/>
      <c r="I52" s="82"/>
      <c r="J52" s="90" t="str">
        <f t="shared" si="2"/>
        <v>,('UnitMeasure','Name','UnitSizeName','')</v>
      </c>
    </row>
    <row r="53" spans="1:11" ht="14.4" customHeight="1" x14ac:dyDescent="0.3">
      <c r="A53" s="6" t="str">
        <f>INDEX('OLTP Tables'!$A$3:$A$39,MATCH(SUBSTITUTE('DWH Tables Metadata'!C53,",",""),'OLTP Tables'!$C$3:$C$39,0))</f>
        <v>Production</v>
      </c>
      <c r="B53" s="7" t="str">
        <f>INDEX('OLTP Tables'!$B$3:$B$39,MATCH(SUBSTITUTE('DWH Tables Metadata'!C53,",",""),'OLTP Tables'!$C$3:$C$39,0))</f>
        <v>Product</v>
      </c>
      <c r="C53" s="6" t="s">
        <v>28</v>
      </c>
      <c r="D53" s="1" t="s">
        <v>9</v>
      </c>
      <c r="E53" s="1" t="s">
        <v>27</v>
      </c>
      <c r="F53" s="1" t="s">
        <v>38</v>
      </c>
      <c r="G53" s="8"/>
      <c r="H53" s="81"/>
      <c r="I53" s="82"/>
      <c r="J53" s="90" t="str">
        <f t="shared" si="2"/>
        <v>,('Product','Weight','ProductWeight','')</v>
      </c>
    </row>
    <row r="54" spans="1:11" ht="14.4" customHeight="1" x14ac:dyDescent="0.3">
      <c r="A54" s="6" t="str">
        <f>INDEX('OLTP Tables'!$A$3:$A$39,MATCH(SUBSTITUTE('DWH Tables Metadata'!C54,",",""),'OLTP Tables'!$C$3:$C$39,0))</f>
        <v>Production</v>
      </c>
      <c r="B54" s="7" t="str">
        <f>INDEX('OLTP Tables'!$B$3:$B$39,MATCH(SUBSTITUTE('DWH Tables Metadata'!C54,",",""),'OLTP Tables'!$C$3:$C$39,0))</f>
        <v>UnitMeasure</v>
      </c>
      <c r="C54" s="6" t="s">
        <v>39</v>
      </c>
      <c r="D54" s="1" t="s">
        <v>20</v>
      </c>
      <c r="E54" s="1" t="s">
        <v>27</v>
      </c>
      <c r="F54" s="1" t="s">
        <v>23</v>
      </c>
      <c r="G54" s="8"/>
      <c r="H54" s="81"/>
      <c r="I54" s="82"/>
      <c r="J54" s="90" t="str">
        <f t="shared" si="2"/>
        <v>,('UnitMeasure','UnitMeasureCode','UnitWeightCode','')</v>
      </c>
    </row>
    <row r="55" spans="1:11" ht="14.4" customHeight="1" x14ac:dyDescent="0.3">
      <c r="A55" s="6" t="str">
        <f>INDEX('OLTP Tables'!$A$3:$A$39,MATCH(SUBSTITUTE('DWH Tables Metadata'!C55,",",""),'OLTP Tables'!$C$3:$C$39,0))</f>
        <v>Production</v>
      </c>
      <c r="B55" s="7" t="str">
        <f>INDEX('OLTP Tables'!$B$3:$B$39,MATCH(SUBSTITUTE('DWH Tables Metadata'!C55,",",""),'OLTP Tables'!$C$3:$C$39,0))</f>
        <v>UnitMeasure</v>
      </c>
      <c r="C55" s="6" t="s">
        <v>39</v>
      </c>
      <c r="D55" s="1" t="s">
        <v>0</v>
      </c>
      <c r="E55" s="1" t="s">
        <v>27</v>
      </c>
      <c r="F55" s="1" t="s">
        <v>24</v>
      </c>
      <c r="G55" s="8"/>
      <c r="H55" s="81"/>
      <c r="I55" s="82"/>
      <c r="J55" s="90" t="str">
        <f t="shared" si="2"/>
        <v>,('UnitMeasure','Name','UnitWeightName','')</v>
      </c>
    </row>
    <row r="56" spans="1:11" ht="14.4" customHeight="1" x14ac:dyDescent="0.3">
      <c r="A56" s="6" t="str">
        <f>INDEX('OLTP Tables'!$A$3:$A$39,MATCH(SUBSTITUTE('DWH Tables Metadata'!C56,",",""),'OLTP Tables'!$C$3:$C$39,0))</f>
        <v>Production</v>
      </c>
      <c r="B56" s="7" t="str">
        <f>INDEX('OLTP Tables'!$B$3:$B$39,MATCH(SUBSTITUTE('DWH Tables Metadata'!C56,",",""),'OLTP Tables'!$C$3:$C$39,0))</f>
        <v>Product</v>
      </c>
      <c r="C56" s="6" t="s">
        <v>28</v>
      </c>
      <c r="D56" s="1" t="s">
        <v>12</v>
      </c>
      <c r="E56" s="1" t="s">
        <v>27</v>
      </c>
      <c r="F56" s="1" t="s">
        <v>12</v>
      </c>
      <c r="G56" s="8"/>
      <c r="H56" s="81"/>
      <c r="I56" s="82"/>
      <c r="J56" s="90" t="str">
        <f t="shared" si="2"/>
        <v>,('Product','SellStartDate','SellStartDate','')</v>
      </c>
    </row>
    <row r="57" spans="1:11" ht="14.4" customHeight="1" x14ac:dyDescent="0.3">
      <c r="A57" s="6" t="str">
        <f>INDEX('OLTP Tables'!$A$3:$A$39,MATCH(SUBSTITUTE('DWH Tables Metadata'!C57,",",""),'OLTP Tables'!$C$3:$C$39,0))</f>
        <v>Production</v>
      </c>
      <c r="B57" s="7" t="str">
        <f>INDEX('OLTP Tables'!$B$3:$B$39,MATCH(SUBSTITUTE('DWH Tables Metadata'!C57,",",""),'OLTP Tables'!$C$3:$C$39,0))</f>
        <v>Product</v>
      </c>
      <c r="C57" s="6" t="s">
        <v>28</v>
      </c>
      <c r="D57" s="1" t="s">
        <v>13</v>
      </c>
      <c r="E57" s="1" t="s">
        <v>27</v>
      </c>
      <c r="F57" s="1" t="s">
        <v>13</v>
      </c>
      <c r="G57" s="8"/>
      <c r="H57" s="81"/>
      <c r="I57" s="82"/>
      <c r="J57" s="90" t="str">
        <f t="shared" si="2"/>
        <v>,('Product','SellEndDate','SellEndDate','')</v>
      </c>
    </row>
    <row r="58" spans="1:11" ht="14.4" customHeight="1" x14ac:dyDescent="0.3">
      <c r="A58" s="6" t="str">
        <f>INDEX('OLTP Tables'!$A$3:$A$39,MATCH(SUBSTITUTE('DWH Tables Metadata'!C58,",",""),'OLTP Tables'!$C$3:$C$39,0))</f>
        <v>Production</v>
      </c>
      <c r="B58" s="7" t="str">
        <f>INDEX('OLTP Tables'!$B$3:$B$39,MATCH(SUBSTITUTE('DWH Tables Metadata'!C58,",",""),'OLTP Tables'!$C$3:$C$39,0))</f>
        <v>Product</v>
      </c>
      <c r="C58" s="6" t="s">
        <v>28</v>
      </c>
      <c r="D58" s="1" t="s">
        <v>14</v>
      </c>
      <c r="E58" s="1" t="s">
        <v>27</v>
      </c>
      <c r="F58" s="1" t="s">
        <v>40</v>
      </c>
      <c r="G58" s="8"/>
      <c r="H58" s="81"/>
      <c r="I58" s="82"/>
      <c r="J58" s="90" t="str">
        <f t="shared" si="2"/>
        <v>,('Product','DiscontinuedDate','DiscountinuedDate','')</v>
      </c>
    </row>
    <row r="59" spans="1:11" ht="14.4" customHeight="1" x14ac:dyDescent="0.3">
      <c r="A59" s="6" t="str">
        <f>INDEX('OLTP Tables'!$A$3:$A$39,MATCH(SUBSTITUTE('DWH Tables Metadata'!C59,",",""),'OLTP Tables'!$C$3:$C$39,0))</f>
        <v>Production</v>
      </c>
      <c r="B59" s="7" t="str">
        <f>INDEX('OLTP Tables'!$B$3:$B$39,MATCH(SUBSTITUTE('DWH Tables Metadata'!C59,",",""),'OLTP Tables'!$C$3:$C$39,0))</f>
        <v>Product</v>
      </c>
      <c r="C59" s="6" t="s">
        <v>28</v>
      </c>
      <c r="D59" s="1" t="s">
        <v>197</v>
      </c>
      <c r="E59" s="1" t="s">
        <v>27</v>
      </c>
      <c r="F59" s="1" t="s">
        <v>197</v>
      </c>
      <c r="G59" s="8"/>
      <c r="H59" s="81"/>
      <c r="I59" s="82"/>
      <c r="J59" s="90" t="str">
        <f t="shared" si="2"/>
        <v>,('Product','ValidityDate_Start','ValidityDate_Start','')</v>
      </c>
    </row>
    <row r="60" spans="1:11" ht="14.4" customHeight="1" thickBot="1" x14ac:dyDescent="0.35">
      <c r="A60" s="6" t="str">
        <f>INDEX('OLTP Tables'!$A$3:$A$39,MATCH(SUBSTITUTE('DWH Tables Metadata'!C60,",",""),'OLTP Tables'!$C$3:$C$39,0))</f>
        <v>Production</v>
      </c>
      <c r="B60" s="7" t="str">
        <f>INDEX('OLTP Tables'!$B$3:$B$39,MATCH(SUBSTITUTE('DWH Tables Metadata'!C60,",",""),'OLTP Tables'!$C$3:$C$39,0))</f>
        <v>Product</v>
      </c>
      <c r="C60" s="6" t="s">
        <v>28</v>
      </c>
      <c r="D60" s="1" t="s">
        <v>198</v>
      </c>
      <c r="E60" s="1" t="s">
        <v>27</v>
      </c>
      <c r="F60" s="1" t="s">
        <v>198</v>
      </c>
      <c r="G60" s="8"/>
      <c r="H60" s="83"/>
      <c r="I60" s="84"/>
      <c r="J60" s="93" t="str">
        <f t="shared" si="2"/>
        <v>,('Product','ValidityDate_End','ValidityDate_End','')</v>
      </c>
    </row>
    <row r="61" spans="1:11" ht="14.4" customHeight="1" thickBot="1" x14ac:dyDescent="0.35">
      <c r="A61" s="15" t="s">
        <v>113</v>
      </c>
      <c r="B61" s="17"/>
      <c r="C61" s="15" t="s">
        <v>113</v>
      </c>
      <c r="D61" s="16"/>
      <c r="E61" s="16"/>
      <c r="F61" s="16"/>
      <c r="G61" s="17"/>
      <c r="H61" s="15" t="s">
        <v>113</v>
      </c>
      <c r="I61" s="17"/>
      <c r="J61" s="15" t="s">
        <v>113</v>
      </c>
      <c r="K61" s="17"/>
    </row>
    <row r="62" spans="1:11" ht="14.4" customHeight="1" x14ac:dyDescent="0.3">
      <c r="A62" s="6" t="str">
        <f>INDEX('OLTP Tables'!$A$3:$A$39,MATCH(SUBSTITUTE('DWH Tables Metadata'!C62,",",""),'OLTP Tables'!$C$3:$C$39,0))</f>
        <v>Sales</v>
      </c>
      <c r="B62" s="7" t="str">
        <f>INDEX('OLTP Tables'!$B$3:$B$39,MATCH(SUBSTITUTE('DWH Tables Metadata'!C62,",",""),'OLTP Tables'!$C$3:$C$39,0))</f>
        <v>SalesPerson</v>
      </c>
      <c r="C62" s="6" t="s">
        <v>79</v>
      </c>
      <c r="D62" s="1" t="s">
        <v>95</v>
      </c>
      <c r="E62" s="1" t="s">
        <v>27</v>
      </c>
      <c r="F62" s="1" t="s">
        <v>51</v>
      </c>
      <c r="G62" s="8"/>
      <c r="H62" s="85" t="str" cm="1">
        <f t="array" ref="H62:I64">_xlfn.UNIQUE(A62:B75)</f>
        <v>Sales</v>
      </c>
      <c r="I62" s="86" t="str">
        <v>SalesPerson</v>
      </c>
      <c r="J62" s="89" t="str">
        <f>_xlfn.CONCAT(
"('",B62,"','",D62,"',","'",F62,"','",G62,"')")</f>
        <v>('SalesPerson','BusinessEntityID','SalesPersonID','')</v>
      </c>
      <c r="K62" s="89" t="str">
        <f>_xlfn.CONCAT(
"('",H62,"','",I62,"')")</f>
        <v>('Sales','SalesPerson')</v>
      </c>
    </row>
    <row r="63" spans="1:11" ht="14.4" customHeight="1" x14ac:dyDescent="0.3">
      <c r="A63" s="6" t="str">
        <f>INDEX('OLTP Tables'!$A$3:$A$39,MATCH(SUBSTITUTE('DWH Tables Metadata'!C63,",",""),'OLTP Tables'!$C$3:$C$39,0))</f>
        <v>Person</v>
      </c>
      <c r="B63" s="7" t="str">
        <f>INDEX('OLTP Tables'!$B$3:$B$39,MATCH(SUBSTITUTE('DWH Tables Metadata'!C63,",",""),'OLTP Tables'!$C$3:$C$39,0))</f>
        <v>Person</v>
      </c>
      <c r="C63" s="6" t="s">
        <v>195</v>
      </c>
      <c r="D63" s="1" t="s">
        <v>53</v>
      </c>
      <c r="E63" s="1" t="s">
        <v>27</v>
      </c>
      <c r="F63" s="1" t="s">
        <v>53</v>
      </c>
      <c r="G63" s="8" t="s">
        <v>91</v>
      </c>
      <c r="H63" s="62" t="str">
        <v>Person</v>
      </c>
      <c r="I63" s="63" t="str">
        <v>Person</v>
      </c>
      <c r="J63" s="90" t="str">
        <f t="shared" ref="J63:J75" si="3">_xlfn.CONCAT(
",('",B63,"','",D63,"',","'",F63,"','",G63,"')")</f>
        <v>,('Person','PersonType','PersonType','---- Primary type of person: SC = Store Contact, IN = Individual (retail) customer, SP = Sales person, EM = Employee (non-sales), VC = Vendor contact, GC = General contact')</v>
      </c>
      <c r="K63" s="91" t="str">
        <f>_xlfn.CONCAT(
",('",H63,"','",I63,"')")</f>
        <v>,('Person','Person')</v>
      </c>
    </row>
    <row r="64" spans="1:11" ht="14.4" customHeight="1" thickBot="1" x14ac:dyDescent="0.35">
      <c r="A64" s="6" t="str">
        <f>INDEX('OLTP Tables'!$A$3:$A$39,MATCH(SUBSTITUTE('DWH Tables Metadata'!C64,",",""),'OLTP Tables'!$C$3:$C$39,0))</f>
        <v>Person</v>
      </c>
      <c r="B64" s="7" t="str">
        <f>INDEX('OLTP Tables'!$B$3:$B$39,MATCH(SUBSTITUTE('DWH Tables Metadata'!C64,",",""),'OLTP Tables'!$C$3:$C$39,0))</f>
        <v>Person</v>
      </c>
      <c r="C64" s="6" t="s">
        <v>195</v>
      </c>
      <c r="D64" s="1" t="s">
        <v>55</v>
      </c>
      <c r="E64" s="1" t="s">
        <v>27</v>
      </c>
      <c r="F64" s="1" t="s">
        <v>55</v>
      </c>
      <c r="G64" s="8"/>
      <c r="H64" s="87" t="str">
        <v>HumanResources</v>
      </c>
      <c r="I64" s="88" t="str">
        <v>Employee</v>
      </c>
      <c r="J64" s="90" t="str">
        <f t="shared" si="3"/>
        <v>,('Person','Title','Title','')</v>
      </c>
      <c r="K64" s="92" t="str">
        <f>_xlfn.CONCAT(
",('",H64,"','",I64,"')")</f>
        <v>,('HumanResources','Employee')</v>
      </c>
    </row>
    <row r="65" spans="1:14" ht="14.4" customHeight="1" x14ac:dyDescent="0.3">
      <c r="A65" s="6" t="str">
        <f>INDEX('OLTP Tables'!$A$3:$A$39,MATCH(SUBSTITUTE('DWH Tables Metadata'!C65,",",""),'OLTP Tables'!$C$3:$C$39,0))</f>
        <v>Person</v>
      </c>
      <c r="B65" s="7" t="str">
        <f>INDEX('OLTP Tables'!$B$3:$B$39,MATCH(SUBSTITUTE('DWH Tables Metadata'!C65,",",""),'OLTP Tables'!$C$3:$C$39,0))</f>
        <v>Person</v>
      </c>
      <c r="C65" s="6" t="s">
        <v>195</v>
      </c>
      <c r="D65" s="1" t="s">
        <v>56</v>
      </c>
      <c r="E65" s="1" t="s">
        <v>27</v>
      </c>
      <c r="F65" s="1" t="s">
        <v>56</v>
      </c>
      <c r="G65" s="8"/>
      <c r="H65" s="81"/>
      <c r="I65" s="82"/>
      <c r="J65" s="90" t="str">
        <f t="shared" si="3"/>
        <v>,('Person','FirstName','FirstName','')</v>
      </c>
      <c r="K65" s="4"/>
      <c r="L65" s="4"/>
      <c r="M65" s="4"/>
    </row>
    <row r="66" spans="1:14" ht="14.4" customHeight="1" x14ac:dyDescent="0.3">
      <c r="A66" s="6" t="str">
        <f>INDEX('OLTP Tables'!$A$3:$A$39,MATCH(SUBSTITUTE('DWH Tables Metadata'!C66,",",""),'OLTP Tables'!$C$3:$C$39,0))</f>
        <v>Person</v>
      </c>
      <c r="B66" s="7" t="str">
        <f>INDEX('OLTP Tables'!$B$3:$B$39,MATCH(SUBSTITUTE('DWH Tables Metadata'!C66,",",""),'OLTP Tables'!$C$3:$C$39,0))</f>
        <v>Person</v>
      </c>
      <c r="C66" s="6" t="s">
        <v>195</v>
      </c>
      <c r="D66" s="1" t="s">
        <v>57</v>
      </c>
      <c r="E66" s="1" t="s">
        <v>27</v>
      </c>
      <c r="F66" s="1" t="s">
        <v>57</v>
      </c>
      <c r="G66" s="8"/>
      <c r="H66" s="81"/>
      <c r="I66" s="82"/>
      <c r="J66" s="90" t="str">
        <f t="shared" si="3"/>
        <v>,('Person','MiddleName','MiddleName','')</v>
      </c>
      <c r="K66" s="4"/>
      <c r="L66" s="4"/>
      <c r="M66" s="4"/>
    </row>
    <row r="67" spans="1:14" ht="14.4" customHeight="1" x14ac:dyDescent="0.3">
      <c r="A67" s="6" t="str">
        <f>INDEX('OLTP Tables'!$A$3:$A$39,MATCH(SUBSTITUTE('DWH Tables Metadata'!C67,",",""),'OLTP Tables'!$C$3:$C$39,0))</f>
        <v>Person</v>
      </c>
      <c r="B67" s="7" t="str">
        <f>INDEX('OLTP Tables'!$B$3:$B$39,MATCH(SUBSTITUTE('DWH Tables Metadata'!C67,",",""),'OLTP Tables'!$C$3:$C$39,0))</f>
        <v>Person</v>
      </c>
      <c r="C67" s="6" t="s">
        <v>195</v>
      </c>
      <c r="D67" s="1" t="s">
        <v>58</v>
      </c>
      <c r="E67" s="1" t="s">
        <v>27</v>
      </c>
      <c r="F67" s="1" t="s">
        <v>58</v>
      </c>
      <c r="G67" s="8"/>
      <c r="H67" s="81"/>
      <c r="I67" s="82"/>
      <c r="J67" s="90" t="str">
        <f t="shared" si="3"/>
        <v>,('Person','LastName','LastName','')</v>
      </c>
      <c r="K67" s="4"/>
      <c r="L67" s="4"/>
      <c r="M67" s="4"/>
    </row>
    <row r="68" spans="1:14" ht="14.4" customHeight="1" x14ac:dyDescent="0.3">
      <c r="A68" s="6" t="str">
        <f>INDEX('OLTP Tables'!$A$3:$A$39,MATCH(SUBSTITUTE('DWH Tables Metadata'!C68,",",""),'OLTP Tables'!$C$3:$C$39,0))</f>
        <v>HumanResources</v>
      </c>
      <c r="B68" s="7" t="str">
        <f>INDEX('OLTP Tables'!$B$3:$B$39,MATCH(SUBSTITUTE('DWH Tables Metadata'!C68,",",""),'OLTP Tables'!$C$3:$C$39,0))</f>
        <v>Employee</v>
      </c>
      <c r="C68" s="6" t="s">
        <v>80</v>
      </c>
      <c r="D68" s="1" t="s">
        <v>81</v>
      </c>
      <c r="E68" s="1" t="s">
        <v>27</v>
      </c>
      <c r="F68" s="1" t="s">
        <v>81</v>
      </c>
      <c r="G68" s="8" t="s">
        <v>82</v>
      </c>
      <c r="H68" s="81"/>
      <c r="I68" s="82"/>
      <c r="J68" s="90" t="str">
        <f t="shared" si="3"/>
        <v>,('Employee','OrganizationLevel','OrganizationLevel','--- The depth of the employee in the corporate hierarchy.')</v>
      </c>
      <c r="K68" s="4"/>
      <c r="L68" s="4"/>
      <c r="M68" s="4"/>
    </row>
    <row r="69" spans="1:14" ht="14.4" customHeight="1" x14ac:dyDescent="0.3">
      <c r="A69" s="6" t="str">
        <f>INDEX('OLTP Tables'!$A$3:$A$39,MATCH(SUBSTITUTE('DWH Tables Metadata'!C69,",",""),'OLTP Tables'!$C$3:$C$39,0))</f>
        <v>HumanResources</v>
      </c>
      <c r="B69" s="7" t="str">
        <f>INDEX('OLTP Tables'!$B$3:$B$39,MATCH(SUBSTITUTE('DWH Tables Metadata'!C69,",",""),'OLTP Tables'!$C$3:$C$39,0))</f>
        <v>Employee</v>
      </c>
      <c r="C69" s="6" t="s">
        <v>80</v>
      </c>
      <c r="D69" s="1" t="s">
        <v>83</v>
      </c>
      <c r="E69" s="1" t="s">
        <v>27</v>
      </c>
      <c r="F69" s="1" t="s">
        <v>83</v>
      </c>
      <c r="G69" s="8"/>
      <c r="H69" s="81"/>
      <c r="I69" s="82"/>
      <c r="J69" s="90" t="str">
        <f t="shared" si="3"/>
        <v>,('Employee','JobTitle','JobTitle','')</v>
      </c>
      <c r="K69" s="4"/>
      <c r="L69" s="4"/>
      <c r="M69" s="4"/>
    </row>
    <row r="70" spans="1:14" ht="14.4" customHeight="1" x14ac:dyDescent="0.3">
      <c r="A70" s="6" t="str">
        <f>INDEX('OLTP Tables'!$A$3:$A$39,MATCH(SUBSTITUTE('DWH Tables Metadata'!C70,",",""),'OLTP Tables'!$C$3:$C$39,0))</f>
        <v>Sales</v>
      </c>
      <c r="B70" s="7" t="str">
        <f>INDEX('OLTP Tables'!$B$3:$B$39,MATCH(SUBSTITUTE('DWH Tables Metadata'!C70,",",""),'OLTP Tables'!$C$3:$C$39,0))</f>
        <v>SalesPerson</v>
      </c>
      <c r="C70" s="6" t="s">
        <v>84</v>
      </c>
      <c r="D70" s="1" t="s">
        <v>85</v>
      </c>
      <c r="E70" s="1" t="s">
        <v>27</v>
      </c>
      <c r="F70" s="1" t="s">
        <v>85</v>
      </c>
      <c r="G70" s="8" t="s">
        <v>86</v>
      </c>
      <c r="H70" s="81"/>
      <c r="I70" s="82"/>
      <c r="J70" s="90" t="str">
        <f t="shared" si="3"/>
        <v>,('SalesPerson','SalesQuota','SalesQuota','--- Projected yearly sales.')</v>
      </c>
      <c r="K70" s="4"/>
      <c r="L70" s="4"/>
      <c r="M70" s="4"/>
    </row>
    <row r="71" spans="1:14" ht="14.4" customHeight="1" x14ac:dyDescent="0.3">
      <c r="A71" s="6" t="str">
        <f>INDEX('OLTP Tables'!$A$3:$A$39,MATCH(SUBSTITUTE('DWH Tables Metadata'!C71,",",""),'OLTP Tables'!$C$3:$C$39,0))</f>
        <v>Sales</v>
      </c>
      <c r="B71" s="7" t="str">
        <f>INDEX('OLTP Tables'!$B$3:$B$39,MATCH(SUBSTITUTE('DWH Tables Metadata'!C71,",",""),'OLTP Tables'!$C$3:$C$39,0))</f>
        <v>SalesPerson</v>
      </c>
      <c r="C71" s="6" t="s">
        <v>84</v>
      </c>
      <c r="D71" s="1" t="s">
        <v>87</v>
      </c>
      <c r="E71" s="1" t="s">
        <v>27</v>
      </c>
      <c r="F71" s="1" t="s">
        <v>87</v>
      </c>
      <c r="G71" s="8" t="s">
        <v>88</v>
      </c>
      <c r="H71" s="81"/>
      <c r="I71" s="82"/>
      <c r="J71" s="90" t="str">
        <f t="shared" si="3"/>
        <v>,('SalesPerson','Bonus','Bonus','--- Bonus due if quota is met.')</v>
      </c>
      <c r="K71" s="4"/>
      <c r="L71" s="4"/>
      <c r="M71" s="4"/>
    </row>
    <row r="72" spans="1:14" ht="14.4" customHeight="1" x14ac:dyDescent="0.3">
      <c r="A72" s="6" t="str">
        <f>INDEX('OLTP Tables'!$A$3:$A$39,MATCH(SUBSTITUTE('DWH Tables Metadata'!C72,",",""),'OLTP Tables'!$C$3:$C$39,0))</f>
        <v>Sales</v>
      </c>
      <c r="B72" s="7" t="str">
        <f>INDEX('OLTP Tables'!$B$3:$B$39,MATCH(SUBSTITUTE('DWH Tables Metadata'!C72,",",""),'OLTP Tables'!$C$3:$C$39,0))</f>
        <v>SalesPerson</v>
      </c>
      <c r="C72" s="6" t="s">
        <v>84</v>
      </c>
      <c r="D72" s="1" t="s">
        <v>89</v>
      </c>
      <c r="E72" s="1" t="s">
        <v>27</v>
      </c>
      <c r="F72" s="1" t="s">
        <v>89</v>
      </c>
      <c r="G72" s="8" t="s">
        <v>90</v>
      </c>
      <c r="H72" s="81"/>
      <c r="I72" s="82"/>
      <c r="J72" s="90" t="str">
        <f t="shared" si="3"/>
        <v>,('SalesPerson','CommissionPct','CommissionPct','--- Commision percent received per sale.')</v>
      </c>
      <c r="K72" s="4"/>
      <c r="L72" s="4"/>
      <c r="M72" s="4"/>
    </row>
    <row r="73" spans="1:14" ht="14.4" customHeight="1" x14ac:dyDescent="0.3">
      <c r="A73" s="6" t="str">
        <f>INDEX('OLTP Tables'!$A$3:$A$39,MATCH(SUBSTITUTE('DWH Tables Metadata'!C73,",",""),'OLTP Tables'!$C$3:$C$39,0))</f>
        <v>Sales</v>
      </c>
      <c r="B73" s="7" t="str">
        <f>INDEX('OLTP Tables'!$B$3:$B$39,MATCH(SUBSTITUTE('DWH Tables Metadata'!C73,",",""),'OLTP Tables'!$C$3:$C$39,0))</f>
        <v>SalesPerson</v>
      </c>
      <c r="C73" s="6" t="s">
        <v>84</v>
      </c>
      <c r="D73" s="1" t="s">
        <v>52</v>
      </c>
      <c r="E73" s="1" t="s">
        <v>27</v>
      </c>
      <c r="F73" s="1" t="s">
        <v>52</v>
      </c>
      <c r="G73" s="8"/>
      <c r="H73" s="81"/>
      <c r="I73" s="82"/>
      <c r="J73" s="90" t="str">
        <f t="shared" si="3"/>
        <v>,('SalesPerson','TerritoryID','TerritoryID','')</v>
      </c>
      <c r="K73" s="4"/>
      <c r="L73" s="4"/>
      <c r="M73" s="4"/>
    </row>
    <row r="74" spans="1:14" ht="14.4" customHeight="1" x14ac:dyDescent="0.3">
      <c r="A74" s="6" t="str">
        <f>INDEX('OLTP Tables'!$A$3:$A$39,MATCH(SUBSTITUTE('DWH Tables Metadata'!C74,",",""),'OLTP Tables'!$C$3:$C$39,0))</f>
        <v>Sales</v>
      </c>
      <c r="B74" s="7" t="str">
        <f>INDEX('OLTP Tables'!$B$3:$B$39,MATCH(SUBSTITUTE('DWH Tables Metadata'!C74,",",""),'OLTP Tables'!$C$3:$C$39,0))</f>
        <v>SalesPerson</v>
      </c>
      <c r="C74" s="6" t="s">
        <v>84</v>
      </c>
      <c r="D74" s="1" t="s">
        <v>197</v>
      </c>
      <c r="E74" s="1" t="s">
        <v>27</v>
      </c>
      <c r="F74" s="1" t="s">
        <v>197</v>
      </c>
      <c r="G74" s="8"/>
      <c r="H74" s="81"/>
      <c r="I74" s="82"/>
      <c r="J74" s="90" t="str">
        <f t="shared" si="3"/>
        <v>,('SalesPerson','ValidityDate_Start','ValidityDate_Start','')</v>
      </c>
      <c r="K74" s="4"/>
      <c r="L74" s="4"/>
      <c r="M74" s="4"/>
    </row>
    <row r="75" spans="1:14" ht="14.4" customHeight="1" thickBot="1" x14ac:dyDescent="0.35">
      <c r="A75" s="95" t="str">
        <f>INDEX('OLTP Tables'!$A$3:$A$39,MATCH(SUBSTITUTE('DWH Tables Metadata'!C75,",",""),'OLTP Tables'!$C$3:$C$39,0))</f>
        <v>Sales</v>
      </c>
      <c r="B75" s="96" t="str">
        <f>INDEX('OLTP Tables'!$B$3:$B$39,MATCH(SUBSTITUTE('DWH Tables Metadata'!C75,",",""),'OLTP Tables'!$C$3:$C$39,0))</f>
        <v>SalesPerson</v>
      </c>
      <c r="C75" s="95" t="s">
        <v>84</v>
      </c>
      <c r="D75" s="2" t="s">
        <v>198</v>
      </c>
      <c r="E75" s="2" t="s">
        <v>27</v>
      </c>
      <c r="F75" s="2" t="s">
        <v>198</v>
      </c>
      <c r="G75" s="97"/>
      <c r="H75" s="81"/>
      <c r="I75" s="82"/>
      <c r="J75" s="98" t="str">
        <f t="shared" si="3"/>
        <v>,('SalesPerson','ValidityDate_End','ValidityDate_End','')</v>
      </c>
      <c r="K75" s="4"/>
      <c r="L75" s="4"/>
      <c r="M75" s="4"/>
    </row>
    <row r="76" spans="1:14" ht="14.4" customHeight="1" thickBot="1" x14ac:dyDescent="0.35">
      <c r="A76" s="15" t="s">
        <v>110</v>
      </c>
      <c r="B76" s="17"/>
      <c r="C76" s="15" t="s">
        <v>110</v>
      </c>
      <c r="D76" s="16"/>
      <c r="E76" s="16"/>
      <c r="F76" s="16"/>
      <c r="G76" s="17"/>
      <c r="H76" s="15" t="s">
        <v>110</v>
      </c>
      <c r="I76" s="17"/>
      <c r="J76" s="15" t="s">
        <v>110</v>
      </c>
      <c r="K76" s="17"/>
    </row>
    <row r="77" spans="1:14" ht="14.4" customHeight="1" x14ac:dyDescent="0.3">
      <c r="A77" s="10" t="str">
        <f>INDEX('OLTP Tables'!$A$3:$A$39,MATCH(SUBSTITUTE('DWH Tables Metadata'!C77,",",""),'OLTP Tables'!$C$3:$C$39,0))</f>
        <v>Sales</v>
      </c>
      <c r="B77" s="11" t="str">
        <f>INDEX('OLTP Tables'!$B$3:$B$39,MATCH(SUBSTITUTE('DWH Tables Metadata'!C77,",",""),'OLTP Tables'!$C$3:$C$39,0))</f>
        <v>SalesOrderHeader</v>
      </c>
      <c r="C77" s="10" t="s">
        <v>115</v>
      </c>
      <c r="D77" s="12" t="s">
        <v>118</v>
      </c>
      <c r="E77" s="12" t="s">
        <v>27</v>
      </c>
      <c r="F77" s="12" t="s">
        <v>118</v>
      </c>
      <c r="G77" s="13" t="s">
        <v>119</v>
      </c>
      <c r="H77" s="64" t="str" cm="1">
        <f t="array" ref="H77:I78">_xlfn.UNIQUE(A77:B100)</f>
        <v>Sales</v>
      </c>
      <c r="I77" s="65" t="str">
        <v>SalesOrderHeader</v>
      </c>
      <c r="J77" s="99" t="str">
        <f>_xlfn.CONCAT(
"('",B77,"','",D77,"',","'",F77,"','",G77,"')")</f>
        <v>('SalesOrderHeader','SalesOrderNumber','SalesOrderNumber','---- Unique sales order identification number.')</v>
      </c>
      <c r="K77" s="99" t="str">
        <f>_xlfn.CONCAT(
"('",H77,"','",I77,"')")</f>
        <v>('Sales','SalesOrderHeader')</v>
      </c>
    </row>
    <row r="78" spans="1:14" ht="14.4" customHeight="1" thickBot="1" x14ac:dyDescent="0.35">
      <c r="A78" s="6" t="str">
        <f>INDEX('OLTP Tables'!$A$3:$A$39,MATCH(SUBSTITUTE('DWH Tables Metadata'!C78,",",""),'OLTP Tables'!$C$3:$C$39,0))</f>
        <v>Sales</v>
      </c>
      <c r="B78" s="7" t="str">
        <f>INDEX('OLTP Tables'!$B$3:$B$39,MATCH(SUBSTITUTE('DWH Tables Metadata'!C78,",",""),'OLTP Tables'!$C$3:$C$39,0))</f>
        <v>SalesOrderHeader</v>
      </c>
      <c r="C78" s="6" t="s">
        <v>120</v>
      </c>
      <c r="D78" s="1" t="s">
        <v>121</v>
      </c>
      <c r="E78" s="1" t="s">
        <v>27</v>
      </c>
      <c r="F78" s="1" t="s">
        <v>121</v>
      </c>
      <c r="G78" s="8"/>
      <c r="H78" s="87" t="str">
        <v>Sales</v>
      </c>
      <c r="I78" s="88" t="str">
        <v>SalesOrderDetail</v>
      </c>
      <c r="J78" s="90" t="str">
        <f>_xlfn.CONCAT(
",('",B78,"','",D78,"',","'",F78,"','",G78,"')")</f>
        <v>,('SalesOrderHeader','SalesOrderID','SalesOrderID','')</v>
      </c>
      <c r="K78" s="92" t="str">
        <f>_xlfn.CONCAT(
",('",H78,"','",I78,"')")</f>
        <v>,('Sales','SalesOrderDetail')</v>
      </c>
    </row>
    <row r="79" spans="1:14" ht="14.4" customHeight="1" x14ac:dyDescent="0.3">
      <c r="A79" s="6" t="str">
        <f>INDEX('OLTP Tables'!$A$3:$A$39,MATCH(SUBSTITUTE('DWH Tables Metadata'!C79,",",""),'OLTP Tables'!$C$3:$C$39,0))</f>
        <v>Sales</v>
      </c>
      <c r="B79" s="7" t="str">
        <f>INDEX('OLTP Tables'!$B$3:$B$39,MATCH(SUBSTITUTE('DWH Tables Metadata'!C79,",",""),'OLTP Tables'!$C$3:$C$39,0))</f>
        <v>SalesOrderDetail</v>
      </c>
      <c r="C79" s="6" t="s">
        <v>122</v>
      </c>
      <c r="D79" s="1" t="s">
        <v>123</v>
      </c>
      <c r="E79" s="1" t="s">
        <v>27</v>
      </c>
      <c r="F79" s="1" t="s">
        <v>123</v>
      </c>
      <c r="G79" s="8"/>
      <c r="J79" s="90" t="str">
        <f t="shared" ref="J79:J100" si="4">_xlfn.CONCAT(
",('",B79,"','",D79,"',","'",F79,"','",G79,"')")</f>
        <v>,('SalesOrderDetail','SalesOrderDetailID','SalesOrderDetailID','')</v>
      </c>
      <c r="K79" s="4"/>
      <c r="L79" s="4"/>
      <c r="M79" s="4"/>
      <c r="N79" s="4"/>
    </row>
    <row r="80" spans="1:14" ht="14.4" customHeight="1" x14ac:dyDescent="0.3">
      <c r="A80" s="6" t="str">
        <f>INDEX('OLTP Tables'!$A$3:$A$39,MATCH(SUBSTITUTE('DWH Tables Metadata'!C80,",",""),'OLTP Tables'!$C$3:$C$39,0))</f>
        <v>Sales</v>
      </c>
      <c r="B80" s="7" t="str">
        <f>INDEX('OLTP Tables'!$B$3:$B$39,MATCH(SUBSTITUTE('DWH Tables Metadata'!C80,",",""),'OLTP Tables'!$C$3:$C$39,0))</f>
        <v>SalesOrderDetail</v>
      </c>
      <c r="C80" s="6" t="s">
        <v>122</v>
      </c>
      <c r="D80" s="1" t="s">
        <v>3</v>
      </c>
      <c r="E80" s="1" t="s">
        <v>27</v>
      </c>
      <c r="F80" s="1" t="s">
        <v>3</v>
      </c>
      <c r="G80" s="8"/>
      <c r="J80" s="90" t="str">
        <f t="shared" si="4"/>
        <v>,('SalesOrderDetail','ProductID','ProductID','')</v>
      </c>
      <c r="K80" s="4"/>
      <c r="L80" s="4"/>
      <c r="M80" s="4"/>
      <c r="N80" s="4"/>
    </row>
    <row r="81" spans="1:14" ht="14.4" customHeight="1" x14ac:dyDescent="0.3">
      <c r="A81" s="6" t="str">
        <f>INDEX('OLTP Tables'!$A$3:$A$39,MATCH(SUBSTITUTE('DWH Tables Metadata'!C81,",",""),'OLTP Tables'!$C$3:$C$39,0))</f>
        <v>Sales</v>
      </c>
      <c r="B81" s="7" t="str">
        <f>INDEX('OLTP Tables'!$B$3:$B$39,MATCH(SUBSTITUTE('DWH Tables Metadata'!C81,",",""),'OLTP Tables'!$C$3:$C$39,0))</f>
        <v>SalesOrderHeader</v>
      </c>
      <c r="C81" s="6" t="s">
        <v>120</v>
      </c>
      <c r="D81" s="1" t="s">
        <v>65</v>
      </c>
      <c r="E81" s="1" t="s">
        <v>27</v>
      </c>
      <c r="F81" s="1" t="s">
        <v>65</v>
      </c>
      <c r="G81" s="8"/>
      <c r="J81" s="90" t="str">
        <f t="shared" si="4"/>
        <v>,('SalesOrderHeader','CustomerID','CustomerID','')</v>
      </c>
      <c r="K81" s="4"/>
      <c r="L81" s="4"/>
      <c r="M81" s="4"/>
      <c r="N81" s="4"/>
    </row>
    <row r="82" spans="1:14" ht="14.4" customHeight="1" x14ac:dyDescent="0.3">
      <c r="A82" s="6" t="str">
        <f>INDEX('OLTP Tables'!$A$3:$A$39,MATCH(SUBSTITUTE('DWH Tables Metadata'!C82,",",""),'OLTP Tables'!$C$3:$C$39,0))</f>
        <v>Sales</v>
      </c>
      <c r="B82" s="7" t="str">
        <f>INDEX('OLTP Tables'!$B$3:$B$39,MATCH(SUBSTITUTE('DWH Tables Metadata'!C82,",",""),'OLTP Tables'!$C$3:$C$39,0))</f>
        <v>SalesOrderHeader</v>
      </c>
      <c r="C82" s="6" t="s">
        <v>120</v>
      </c>
      <c r="D82" s="1" t="s">
        <v>51</v>
      </c>
      <c r="E82" s="1" t="s">
        <v>27</v>
      </c>
      <c r="F82" s="1" t="s">
        <v>51</v>
      </c>
      <c r="G82" s="8"/>
      <c r="J82" s="90" t="str">
        <f t="shared" si="4"/>
        <v>,('SalesOrderHeader','SalesPersonID','SalesPersonID','')</v>
      </c>
      <c r="K82" s="4"/>
      <c r="L82" s="4"/>
      <c r="M82" s="4"/>
      <c r="N82" s="4"/>
    </row>
    <row r="83" spans="1:14" ht="14.4" customHeight="1" x14ac:dyDescent="0.3">
      <c r="A83" s="6" t="str">
        <f>INDEX('OLTP Tables'!$A$3:$A$39,MATCH(SUBSTITUTE('DWH Tables Metadata'!C83,",",""),'OLTP Tables'!$C$3:$C$39,0))</f>
        <v>Sales</v>
      </c>
      <c r="B83" s="7" t="str">
        <f>INDEX('OLTP Tables'!$B$3:$B$39,MATCH(SUBSTITUTE('DWH Tables Metadata'!C83,",",""),'OLTP Tables'!$C$3:$C$39,0))</f>
        <v>SalesOrderDetail</v>
      </c>
      <c r="C83" s="6" t="s">
        <v>122</v>
      </c>
      <c r="D83" s="1" t="s">
        <v>124</v>
      </c>
      <c r="E83" s="1" t="s">
        <v>27</v>
      </c>
      <c r="F83" s="1" t="s">
        <v>124</v>
      </c>
      <c r="G83" s="8"/>
      <c r="J83" s="90" t="str">
        <f t="shared" si="4"/>
        <v>,('SalesOrderDetail','SpecialOfferID','SpecialOfferID','')</v>
      </c>
      <c r="K83" s="4"/>
      <c r="L83" s="4"/>
      <c r="M83" s="4"/>
      <c r="N83" s="4"/>
    </row>
    <row r="84" spans="1:14" ht="14.4" customHeight="1" x14ac:dyDescent="0.3">
      <c r="A84" s="6" t="str">
        <f>INDEX('OLTP Tables'!$A$3:$A$39,MATCH(SUBSTITUTE('DWH Tables Metadata'!C84,",",""),'OLTP Tables'!$C$3:$C$39,0))</f>
        <v>Sales</v>
      </c>
      <c r="B84" s="7" t="str">
        <f>INDEX('OLTP Tables'!$B$3:$B$39,MATCH(SUBSTITUTE('DWH Tables Metadata'!C84,",",""),'OLTP Tables'!$C$3:$C$39,0))</f>
        <v>SalesOrderHeader</v>
      </c>
      <c r="C84" s="6" t="s">
        <v>120</v>
      </c>
      <c r="D84" s="1" t="s">
        <v>52</v>
      </c>
      <c r="E84" s="1" t="s">
        <v>27</v>
      </c>
      <c r="F84" s="1" t="s">
        <v>52</v>
      </c>
      <c r="G84" s="8"/>
      <c r="J84" s="90" t="str">
        <f t="shared" si="4"/>
        <v>,('SalesOrderHeader','TerritoryID','TerritoryID','')</v>
      </c>
      <c r="K84" s="4"/>
      <c r="L84" s="4"/>
      <c r="M84" s="4"/>
      <c r="N84" s="4"/>
    </row>
    <row r="85" spans="1:14" ht="14.4" customHeight="1" x14ac:dyDescent="0.3">
      <c r="A85" s="6" t="str">
        <f>INDEX('OLTP Tables'!$A$3:$A$39,MATCH(SUBSTITUTE('DWH Tables Metadata'!C85,",",""),'OLTP Tables'!$C$3:$C$39,0))</f>
        <v>Sales</v>
      </c>
      <c r="B85" s="7" t="str">
        <f>INDEX('OLTP Tables'!$B$3:$B$39,MATCH(SUBSTITUTE('DWH Tables Metadata'!C85,",",""),'OLTP Tables'!$C$3:$C$39,0))</f>
        <v>SalesOrderHeader</v>
      </c>
      <c r="C85" s="6" t="s">
        <v>120</v>
      </c>
      <c r="D85" s="1" t="s">
        <v>125</v>
      </c>
      <c r="E85" s="1" t="s">
        <v>27</v>
      </c>
      <c r="F85" s="1" t="s">
        <v>125</v>
      </c>
      <c r="G85" s="8"/>
      <c r="J85" s="90" t="str">
        <f t="shared" si="4"/>
        <v>,('SalesOrderHeader','ShipToAddressID','ShipToAddressID','')</v>
      </c>
      <c r="K85" s="4"/>
      <c r="L85" s="4"/>
      <c r="M85" s="4"/>
      <c r="N85" s="4"/>
    </row>
    <row r="86" spans="1:14" ht="14.4" customHeight="1" x14ac:dyDescent="0.3">
      <c r="A86" s="6" t="str">
        <f>INDEX('OLTP Tables'!$A$3:$A$39,MATCH(SUBSTITUTE('DWH Tables Metadata'!C86,",",""),'OLTP Tables'!$C$3:$C$39,0))</f>
        <v>Sales</v>
      </c>
      <c r="B86" s="7" t="str">
        <f>INDEX('OLTP Tables'!$B$3:$B$39,MATCH(SUBSTITUTE('DWH Tables Metadata'!C86,",",""),'OLTP Tables'!$C$3:$C$39,0))</f>
        <v>SalesOrderHeader</v>
      </c>
      <c r="C86" s="6" t="s">
        <v>120</v>
      </c>
      <c r="D86" s="1" t="s">
        <v>126</v>
      </c>
      <c r="E86" s="1" t="s">
        <v>27</v>
      </c>
      <c r="F86" s="1" t="s">
        <v>126</v>
      </c>
      <c r="G86" s="8"/>
      <c r="J86" s="90" t="str">
        <f t="shared" si="4"/>
        <v>,('SalesOrderHeader','CurrencyRateID','CurrencyRateID','')</v>
      </c>
      <c r="K86" s="4"/>
      <c r="L86" s="4"/>
      <c r="M86" s="4"/>
      <c r="N86" s="4"/>
    </row>
    <row r="87" spans="1:14" ht="14.4" customHeight="1" x14ac:dyDescent="0.3">
      <c r="A87" s="6" t="str">
        <f>INDEX('OLTP Tables'!$A$3:$A$39,MATCH(SUBSTITUTE('DWH Tables Metadata'!C87,",",""),'OLTP Tables'!$C$3:$C$39,0))</f>
        <v>Sales</v>
      </c>
      <c r="B87" s="7" t="str">
        <f>INDEX('OLTP Tables'!$B$3:$B$39,MATCH(SUBSTITUTE('DWH Tables Metadata'!C87,",",""),'OLTP Tables'!$C$3:$C$39,0))</f>
        <v>SalesOrderHeader</v>
      </c>
      <c r="C87" s="6" t="s">
        <v>120</v>
      </c>
      <c r="D87" s="1" t="s">
        <v>127</v>
      </c>
      <c r="E87" s="1" t="s">
        <v>27</v>
      </c>
      <c r="F87" s="1" t="s">
        <v>127</v>
      </c>
      <c r="G87" s="8" t="s">
        <v>149</v>
      </c>
      <c r="J87" s="90" t="str">
        <f t="shared" si="4"/>
        <v>,('SalesOrderHeader','OrderDate','OrderDate','---- Dates the sales order was created.')</v>
      </c>
      <c r="K87" s="4"/>
      <c r="L87" s="4"/>
      <c r="M87" s="4"/>
      <c r="N87" s="4"/>
    </row>
    <row r="88" spans="1:14" ht="14.4" customHeight="1" x14ac:dyDescent="0.3">
      <c r="A88" s="6" t="str">
        <f>INDEX('OLTP Tables'!$A$3:$A$39,MATCH(SUBSTITUTE('DWH Tables Metadata'!C88,",",""),'OLTP Tables'!$C$3:$C$39,0))</f>
        <v>Sales</v>
      </c>
      <c r="B88" s="7" t="str">
        <f>INDEX('OLTP Tables'!$B$3:$B$39,MATCH(SUBSTITUTE('DWH Tables Metadata'!C88,",",""),'OLTP Tables'!$C$3:$C$39,0))</f>
        <v>SalesOrderHeader</v>
      </c>
      <c r="C88" s="6" t="s">
        <v>120</v>
      </c>
      <c r="D88" s="1" t="s">
        <v>128</v>
      </c>
      <c r="E88" s="1" t="s">
        <v>27</v>
      </c>
      <c r="F88" s="1" t="s">
        <v>128</v>
      </c>
      <c r="G88" s="8" t="s">
        <v>129</v>
      </c>
      <c r="J88" s="90" t="str">
        <f t="shared" si="4"/>
        <v>,('SalesOrderHeader','DueDate','DueDate','---- Date the order is due to the customer.')</v>
      </c>
      <c r="K88" s="4"/>
      <c r="L88" s="4"/>
      <c r="M88" s="4"/>
      <c r="N88" s="4"/>
    </row>
    <row r="89" spans="1:14" ht="14.4" customHeight="1" x14ac:dyDescent="0.3">
      <c r="A89" s="6" t="str">
        <f>INDEX('OLTP Tables'!$A$3:$A$39,MATCH(SUBSTITUTE('DWH Tables Metadata'!C89,",",""),'OLTP Tables'!$C$3:$C$39,0))</f>
        <v>Sales</v>
      </c>
      <c r="B89" s="7" t="str">
        <f>INDEX('OLTP Tables'!$B$3:$B$39,MATCH(SUBSTITUTE('DWH Tables Metadata'!C89,",",""),'OLTP Tables'!$C$3:$C$39,0))</f>
        <v>SalesOrderHeader</v>
      </c>
      <c r="C89" s="6" t="s">
        <v>120</v>
      </c>
      <c r="D89" s="1" t="s">
        <v>130</v>
      </c>
      <c r="E89" s="1" t="s">
        <v>27</v>
      </c>
      <c r="F89" s="1" t="s">
        <v>130</v>
      </c>
      <c r="G89" s="8" t="s">
        <v>131</v>
      </c>
      <c r="J89" s="90" t="str">
        <f t="shared" si="4"/>
        <v>,('SalesOrderHeader','ShipDate','ShipDate','---- Date the order was shipped to the customer.')</v>
      </c>
      <c r="K89" s="4"/>
      <c r="L89" s="4"/>
      <c r="M89" s="4"/>
      <c r="N89" s="4"/>
    </row>
    <row r="90" spans="1:14" ht="14.4" customHeight="1" x14ac:dyDescent="0.3">
      <c r="A90" s="6" t="str">
        <f>INDEX('OLTP Tables'!$A$3:$A$39,MATCH(SUBSTITUTE('DWH Tables Metadata'!C90,",",""),'OLTP Tables'!$C$3:$C$39,0))</f>
        <v>Sales</v>
      </c>
      <c r="B90" s="7" t="str">
        <f>INDEX('OLTP Tables'!$B$3:$B$39,MATCH(SUBSTITUTE('DWH Tables Metadata'!C90,",",""),'OLTP Tables'!$C$3:$C$39,0))</f>
        <v>SalesOrderHeader</v>
      </c>
      <c r="C90" s="6" t="s">
        <v>120</v>
      </c>
      <c r="D90" s="1" t="s">
        <v>132</v>
      </c>
      <c r="E90" s="1" t="s">
        <v>27</v>
      </c>
      <c r="F90" s="1" t="s">
        <v>132</v>
      </c>
      <c r="G90" s="8" t="s">
        <v>133</v>
      </c>
      <c r="J90" s="90" t="str">
        <f t="shared" si="4"/>
        <v>,('SalesOrderHeader','Status','Status','---- Order current status. 1 = In process; 2 = Approved; 3 = Backordered; 4 = Rejected; 5 = Shipped; 6 = Cancelled')</v>
      </c>
      <c r="K90" s="4"/>
      <c r="L90" s="4"/>
      <c r="M90" s="4"/>
      <c r="N90" s="4"/>
    </row>
    <row r="91" spans="1:14" ht="14.4" customHeight="1" x14ac:dyDescent="0.3">
      <c r="A91" s="6" t="str">
        <f>INDEX('OLTP Tables'!$A$3:$A$39,MATCH(SUBSTITUTE('DWH Tables Metadata'!C91,",",""),'OLTP Tables'!$C$3:$C$39,0))</f>
        <v>Sales</v>
      </c>
      <c r="B91" s="7" t="str">
        <f>INDEX('OLTP Tables'!$B$3:$B$39,MATCH(SUBSTITUTE('DWH Tables Metadata'!C91,",",""),'OLTP Tables'!$C$3:$C$39,0))</f>
        <v>SalesOrderHeader</v>
      </c>
      <c r="C91" s="6" t="s">
        <v>120</v>
      </c>
      <c r="D91" s="1" t="s">
        <v>134</v>
      </c>
      <c r="E91" s="1" t="s">
        <v>27</v>
      </c>
      <c r="F91" s="1" t="s">
        <v>134</v>
      </c>
      <c r="G91" s="8" t="s">
        <v>135</v>
      </c>
      <c r="J91" s="90" t="str">
        <f t="shared" si="4"/>
        <v>,('SalesOrderHeader','OnlineOrderFlag','OnlineOrderFlag','---- 0 = Order placed by sales person. 1 = Order placed online by customer.')</v>
      </c>
      <c r="K91" s="4"/>
      <c r="L91" s="4"/>
      <c r="M91" s="4"/>
      <c r="N91" s="4"/>
    </row>
    <row r="92" spans="1:14" ht="14.4" customHeight="1" x14ac:dyDescent="0.3">
      <c r="A92" s="6" t="str">
        <f>INDEX('OLTP Tables'!$A$3:$A$39,MATCH(SUBSTITUTE('DWH Tables Metadata'!C92,",",""),'OLTP Tables'!$C$3:$C$39,0))</f>
        <v>Sales</v>
      </c>
      <c r="B92" s="7" t="str">
        <f>INDEX('OLTP Tables'!$B$3:$B$39,MATCH(SUBSTITUTE('DWH Tables Metadata'!C92,",",""),'OLTP Tables'!$C$3:$C$39,0))</f>
        <v>SalesOrderHeader</v>
      </c>
      <c r="C92" s="6" t="s">
        <v>120</v>
      </c>
      <c r="D92" s="1" t="s">
        <v>136</v>
      </c>
      <c r="E92" s="1" t="s">
        <v>27</v>
      </c>
      <c r="F92" s="1" t="s">
        <v>137</v>
      </c>
      <c r="G92" s="8"/>
      <c r="J92" s="90" t="str">
        <f t="shared" si="4"/>
        <v>,('SalesOrderHeader','SubTotal','OrderSubTotal ','')</v>
      </c>
      <c r="K92" s="4"/>
      <c r="L92" s="4"/>
      <c r="M92" s="4"/>
      <c r="N92" s="4"/>
    </row>
    <row r="93" spans="1:14" ht="14.4" customHeight="1" x14ac:dyDescent="0.3">
      <c r="A93" s="6" t="str">
        <f>INDEX('OLTP Tables'!$A$3:$A$39,MATCH(SUBSTITUTE('DWH Tables Metadata'!C93,",",""),'OLTP Tables'!$C$3:$C$39,0))</f>
        <v>Sales</v>
      </c>
      <c r="B93" s="7" t="str">
        <f>INDEX('OLTP Tables'!$B$3:$B$39,MATCH(SUBSTITUTE('DWH Tables Metadata'!C93,",",""),'OLTP Tables'!$C$3:$C$39,0))</f>
        <v>SalesOrderHeader</v>
      </c>
      <c r="C93" s="6" t="s">
        <v>120</v>
      </c>
      <c r="D93" s="1" t="s">
        <v>138</v>
      </c>
      <c r="E93" s="1" t="s">
        <v>27</v>
      </c>
      <c r="F93" s="1" t="s">
        <v>139</v>
      </c>
      <c r="G93" s="8"/>
      <c r="J93" s="90" t="str">
        <f t="shared" si="4"/>
        <v>,('SalesOrderHeader','TaxAmt','OrderTaxAmt','')</v>
      </c>
      <c r="K93" s="4"/>
      <c r="L93" s="4"/>
      <c r="M93" s="4"/>
      <c r="N93" s="4"/>
    </row>
    <row r="94" spans="1:14" ht="14.4" customHeight="1" x14ac:dyDescent="0.3">
      <c r="A94" s="6" t="str">
        <f>INDEX('OLTP Tables'!$A$3:$A$39,MATCH(SUBSTITUTE('DWH Tables Metadata'!C94,",",""),'OLTP Tables'!$C$3:$C$39,0))</f>
        <v>Sales</v>
      </c>
      <c r="B94" s="7" t="str">
        <f>INDEX('OLTP Tables'!$B$3:$B$39,MATCH(SUBSTITUTE('DWH Tables Metadata'!C94,",",""),'OLTP Tables'!$C$3:$C$39,0))</f>
        <v>SalesOrderHeader</v>
      </c>
      <c r="C94" s="6" t="s">
        <v>120</v>
      </c>
      <c r="D94" s="1" t="s">
        <v>140</v>
      </c>
      <c r="E94" s="1" t="s">
        <v>27</v>
      </c>
      <c r="F94" s="1" t="s">
        <v>141</v>
      </c>
      <c r="G94" s="8"/>
      <c r="J94" s="90" t="str">
        <f t="shared" si="4"/>
        <v>,('SalesOrderHeader','Freight','OrderFreight','')</v>
      </c>
      <c r="K94" s="4"/>
      <c r="L94" s="4"/>
      <c r="M94" s="4"/>
      <c r="N94" s="4"/>
    </row>
    <row r="95" spans="1:14" ht="14.4" customHeight="1" x14ac:dyDescent="0.3">
      <c r="A95" s="6" t="str">
        <f>INDEX('OLTP Tables'!$A$3:$A$39,MATCH(SUBSTITUTE('DWH Tables Metadata'!C95,",",""),'OLTP Tables'!$C$3:$C$39,0))</f>
        <v>Sales</v>
      </c>
      <c r="B95" s="7" t="str">
        <f>INDEX('OLTP Tables'!$B$3:$B$39,MATCH(SUBSTITUTE('DWH Tables Metadata'!C95,",",""),'OLTP Tables'!$C$3:$C$39,0))</f>
        <v>SalesOrderHeader</v>
      </c>
      <c r="C95" s="6" t="s">
        <v>120</v>
      </c>
      <c r="D95" s="1" t="s">
        <v>142</v>
      </c>
      <c r="E95" s="1" t="s">
        <v>27</v>
      </c>
      <c r="F95" s="1" t="s">
        <v>143</v>
      </c>
      <c r="G95" s="8"/>
      <c r="J95" s="90" t="str">
        <f t="shared" si="4"/>
        <v>,('SalesOrderHeader','TotalDue','OrderTotalDue','')</v>
      </c>
      <c r="K95" s="4"/>
      <c r="L95" s="4"/>
      <c r="M95" s="4"/>
      <c r="N95" s="4"/>
    </row>
    <row r="96" spans="1:14" ht="14.4" customHeight="1" x14ac:dyDescent="0.3">
      <c r="A96" s="6" t="str">
        <f>INDEX('OLTP Tables'!$A$3:$A$39,MATCH(SUBSTITUTE('DWH Tables Metadata'!C96,",",""),'OLTP Tables'!$C$3:$C$39,0))</f>
        <v>Sales</v>
      </c>
      <c r="B96" s="7" t="str">
        <f>INDEX('OLTP Tables'!$B$3:$B$39,MATCH(SUBSTITUTE('DWH Tables Metadata'!C96,",",""),'OLTP Tables'!$C$3:$C$39,0))</f>
        <v>SalesOrderDetail</v>
      </c>
      <c r="C96" s="6" t="s">
        <v>122</v>
      </c>
      <c r="D96" s="1" t="s">
        <v>1</v>
      </c>
      <c r="E96" s="1" t="s">
        <v>27</v>
      </c>
      <c r="F96" s="1" t="s">
        <v>144</v>
      </c>
      <c r="G96" s="8"/>
      <c r="J96" s="90" t="str">
        <f t="shared" si="4"/>
        <v>,('SalesOrderDetail','OrderQty','LineOrderQty','')</v>
      </c>
      <c r="K96" s="4"/>
      <c r="L96" s="4"/>
      <c r="M96" s="4"/>
      <c r="N96" s="4"/>
    </row>
    <row r="97" spans="1:14" ht="14.4" customHeight="1" x14ac:dyDescent="0.3">
      <c r="A97" s="6" t="str">
        <f>INDEX('OLTP Tables'!$A$3:$A$39,MATCH(SUBSTITUTE('DWH Tables Metadata'!C97,",",""),'OLTP Tables'!$C$3:$C$39,0))</f>
        <v>Sales</v>
      </c>
      <c r="B97" s="7" t="str">
        <f>INDEX('OLTP Tables'!$B$3:$B$39,MATCH(SUBSTITUTE('DWH Tables Metadata'!C97,",",""),'OLTP Tables'!$C$3:$C$39,0))</f>
        <v>SalesOrderDetail</v>
      </c>
      <c r="C97" s="6" t="s">
        <v>122</v>
      </c>
      <c r="D97" s="1" t="s">
        <v>145</v>
      </c>
      <c r="E97" s="1" t="s">
        <v>27</v>
      </c>
      <c r="F97" s="1" t="s">
        <v>145</v>
      </c>
      <c r="G97" s="8"/>
      <c r="J97" s="90" t="str">
        <f t="shared" si="4"/>
        <v>,('SalesOrderDetail','UnitPrice','UnitPrice','')</v>
      </c>
      <c r="K97" s="4"/>
      <c r="L97" s="4"/>
      <c r="M97" s="4"/>
      <c r="N97" s="4"/>
    </row>
    <row r="98" spans="1:14" ht="14.4" customHeight="1" x14ac:dyDescent="0.3">
      <c r="A98" s="6" t="str">
        <f>INDEX('OLTP Tables'!$A$3:$A$39,MATCH(SUBSTITUTE('DWH Tables Metadata'!C98,",",""),'OLTP Tables'!$C$3:$C$39,0))</f>
        <v>Sales</v>
      </c>
      <c r="B98" s="7" t="str">
        <f>INDEX('OLTP Tables'!$B$3:$B$39,MATCH(SUBSTITUTE('DWH Tables Metadata'!C98,",",""),'OLTP Tables'!$C$3:$C$39,0))</f>
        <v>SalesOrderDetail</v>
      </c>
      <c r="C98" s="6" t="s">
        <v>122</v>
      </c>
      <c r="D98" s="1" t="s">
        <v>146</v>
      </c>
      <c r="E98" s="1" t="s">
        <v>27</v>
      </c>
      <c r="F98" s="1" t="s">
        <v>146</v>
      </c>
      <c r="G98" s="8"/>
      <c r="J98" s="90" t="str">
        <f t="shared" si="4"/>
        <v>,('SalesOrderDetail','UnitPriceDiscount','UnitPriceDiscount','')</v>
      </c>
      <c r="K98" s="4"/>
      <c r="L98" s="4"/>
      <c r="M98" s="4"/>
      <c r="N98" s="4"/>
    </row>
    <row r="99" spans="1:14" ht="14.4" customHeight="1" x14ac:dyDescent="0.3">
      <c r="A99" s="6" t="str">
        <f>INDEX('OLTP Tables'!$A$3:$A$39,MATCH(SUBSTITUTE('DWH Tables Metadata'!C99,",",""),'OLTP Tables'!$C$3:$C$39,0))</f>
        <v>Sales</v>
      </c>
      <c r="B99" s="7" t="str">
        <f>INDEX('OLTP Tables'!$B$3:$B$39,MATCH(SUBSTITUTE('DWH Tables Metadata'!C99,",",""),'OLTP Tables'!$C$3:$C$39,0))</f>
        <v>SalesOrderDetail</v>
      </c>
      <c r="C99" s="6" t="s">
        <v>122</v>
      </c>
      <c r="D99" s="1" t="s">
        <v>147</v>
      </c>
      <c r="E99" s="1" t="s">
        <v>27</v>
      </c>
      <c r="F99" s="1" t="s">
        <v>147</v>
      </c>
      <c r="G99" s="8"/>
      <c r="J99" s="90" t="str">
        <f t="shared" si="4"/>
        <v>,('SalesOrderDetail','LineTotal','LineTotal','')</v>
      </c>
      <c r="K99" s="4"/>
      <c r="L99" s="4"/>
      <c r="M99" s="4"/>
      <c r="N99" s="4"/>
    </row>
    <row r="100" spans="1:14" ht="14.4" customHeight="1" thickBot="1" x14ac:dyDescent="0.35">
      <c r="A100" s="6" t="str">
        <f>INDEX('OLTP Tables'!$A$3:$A$39,MATCH(SUBSTITUTE('DWH Tables Metadata'!C100,",",""),'OLTP Tables'!$C$3:$C$39,0))</f>
        <v>Sales</v>
      </c>
      <c r="B100" s="7" t="str">
        <f>INDEX('OLTP Tables'!$B$3:$B$39,MATCH(SUBSTITUTE('DWH Tables Metadata'!C100,",",""),'OLTP Tables'!$C$3:$C$39,0))</f>
        <v>SalesOrderHeader</v>
      </c>
      <c r="C100" s="6" t="s">
        <v>120</v>
      </c>
      <c r="D100" s="1" t="s">
        <v>196</v>
      </c>
      <c r="E100" s="1" t="s">
        <v>27</v>
      </c>
      <c r="F100" s="1" t="s">
        <v>196</v>
      </c>
      <c r="G100" s="8"/>
      <c r="J100" s="93" t="str">
        <f t="shared" si="4"/>
        <v>,('SalesOrderHeader','LastModifiedDate','LastModifiedDate','')</v>
      </c>
      <c r="K100" s="4"/>
      <c r="L100" s="4"/>
      <c r="M100" s="4"/>
      <c r="N100" s="4"/>
    </row>
    <row r="101" spans="1:14" ht="14.4" customHeight="1" x14ac:dyDescent="0.3">
      <c r="K101" s="4"/>
      <c r="L101" s="4"/>
      <c r="M101" s="4"/>
      <c r="N101" s="4"/>
    </row>
  </sheetData>
  <mergeCells count="6">
    <mergeCell ref="A1:B2"/>
    <mergeCell ref="C1:G2"/>
    <mergeCell ref="H1:I2"/>
    <mergeCell ref="J1:K2"/>
    <mergeCell ref="E3:F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E239-6EBE-4E99-997D-DF441A171D3B}">
  <dimension ref="A1:R105"/>
  <sheetViews>
    <sheetView tabSelected="1" zoomScale="70" zoomScaleNormal="70" workbookViewId="0">
      <pane ySplit="3" topLeftCell="A19" activePane="bottomLeft" state="frozen"/>
      <selection pane="bottomLeft" activeCell="D80" sqref="D80"/>
    </sheetView>
  </sheetViews>
  <sheetFormatPr defaultRowHeight="14.4" customHeight="1" x14ac:dyDescent="0.3"/>
  <cols>
    <col min="1" max="1" width="23.77734375" customWidth="1"/>
    <col min="2" max="2" width="26" customWidth="1"/>
    <col min="3" max="3" width="19.77734375" customWidth="1"/>
    <col min="4" max="4" width="22.88671875" customWidth="1"/>
    <col min="5" max="5" width="29.77734375" customWidth="1"/>
    <col min="6" max="6" width="5.5546875" customWidth="1"/>
    <col min="7" max="7" width="3.109375" customWidth="1"/>
    <col min="8" max="8" width="3.44140625" customWidth="1"/>
    <col min="9" max="9" width="2.44140625" customWidth="1"/>
    <col min="10" max="11" width="54" customWidth="1"/>
    <col min="12" max="12" width="25.77734375" customWidth="1"/>
    <col min="13" max="13" width="5.88671875" customWidth="1"/>
    <col min="14" max="14" width="2.5546875" customWidth="1"/>
    <col min="15" max="15" width="3.33203125" customWidth="1"/>
    <col min="16" max="16" width="2.5546875" customWidth="1"/>
    <col min="17" max="17" width="48.21875" customWidth="1"/>
    <col min="18" max="18" width="49.33203125" customWidth="1"/>
  </cols>
  <sheetData>
    <row r="1" spans="1:18" ht="14.4" customHeight="1" x14ac:dyDescent="0.3">
      <c r="A1" s="140" t="s">
        <v>191</v>
      </c>
      <c r="B1" s="141"/>
      <c r="C1" s="145" t="s">
        <v>201</v>
      </c>
      <c r="D1" s="146"/>
      <c r="E1" s="168" t="s">
        <v>202</v>
      </c>
      <c r="F1" s="169"/>
      <c r="G1" s="169"/>
      <c r="H1" s="169"/>
      <c r="I1" s="169"/>
      <c r="J1" s="170"/>
      <c r="K1" s="43"/>
      <c r="L1" s="149" t="s">
        <v>205</v>
      </c>
      <c r="M1" s="156"/>
      <c r="N1" s="156"/>
      <c r="O1" s="156"/>
      <c r="P1" s="156"/>
      <c r="Q1" s="150"/>
      <c r="R1" s="160" t="s">
        <v>232</v>
      </c>
    </row>
    <row r="2" spans="1:18" ht="14.4" customHeight="1" thickBot="1" x14ac:dyDescent="0.35">
      <c r="A2" s="143"/>
      <c r="B2" s="144"/>
      <c r="C2" s="166"/>
      <c r="D2" s="167"/>
      <c r="E2" s="171"/>
      <c r="F2" s="172"/>
      <c r="G2" s="172"/>
      <c r="H2" s="172"/>
      <c r="I2" s="172"/>
      <c r="J2" s="173"/>
      <c r="K2" s="44"/>
      <c r="L2" s="157"/>
      <c r="M2" s="158"/>
      <c r="N2" s="158"/>
      <c r="O2" s="158"/>
      <c r="P2" s="158"/>
      <c r="Q2" s="159"/>
      <c r="R2" s="161"/>
    </row>
    <row r="3" spans="1:18" ht="14.4" customHeight="1" thickBot="1" x14ac:dyDescent="0.35">
      <c r="A3" s="50" t="s">
        <v>203</v>
      </c>
      <c r="B3" s="51" t="s">
        <v>206</v>
      </c>
      <c r="C3" s="121" t="s">
        <v>235</v>
      </c>
      <c r="D3" s="120" t="s">
        <v>234</v>
      </c>
      <c r="E3" s="45" t="s">
        <v>204</v>
      </c>
      <c r="F3" s="46" t="s">
        <v>199</v>
      </c>
      <c r="G3" s="47"/>
      <c r="H3" s="48"/>
      <c r="I3" s="49"/>
      <c r="J3" s="119" t="s">
        <v>236</v>
      </c>
      <c r="K3" s="119" t="s">
        <v>233</v>
      </c>
      <c r="L3" s="74" t="s">
        <v>204</v>
      </c>
      <c r="M3" s="75" t="s">
        <v>199</v>
      </c>
      <c r="N3" s="76"/>
      <c r="O3" s="77"/>
      <c r="P3" s="78"/>
      <c r="Q3" s="122" t="s">
        <v>237</v>
      </c>
      <c r="R3" s="162"/>
    </row>
    <row r="4" spans="1:18" ht="14.4" customHeight="1" thickBot="1" x14ac:dyDescent="0.35">
      <c r="A4" s="15" t="s">
        <v>111</v>
      </c>
      <c r="B4" s="17"/>
      <c r="C4" s="15" t="s">
        <v>111</v>
      </c>
      <c r="D4" s="17"/>
      <c r="E4" s="15" t="s">
        <v>111</v>
      </c>
      <c r="F4" s="16"/>
      <c r="G4" s="18"/>
      <c r="H4" s="18"/>
      <c r="I4" s="18"/>
      <c r="J4" s="17"/>
      <c r="K4" s="16"/>
      <c r="L4" s="15" t="s">
        <v>111</v>
      </c>
      <c r="M4" s="16"/>
      <c r="N4" s="16"/>
      <c r="O4" s="16"/>
      <c r="P4" s="16"/>
      <c r="Q4" s="16"/>
      <c r="R4" s="118" t="s">
        <v>111</v>
      </c>
    </row>
    <row r="5" spans="1:18" ht="14.4" customHeight="1" x14ac:dyDescent="0.3">
      <c r="A5" s="108" t="s">
        <v>97</v>
      </c>
      <c r="B5" s="109" t="s">
        <v>200</v>
      </c>
      <c r="C5" s="100" t="str">
        <f>A5</f>
        <v>AddressID</v>
      </c>
      <c r="D5" s="94" t="str">
        <f>_xlfn.CONCAT("s.",A5)</f>
        <v>s.AddressID</v>
      </c>
      <c r="E5" s="28"/>
      <c r="F5" s="29"/>
      <c r="G5" s="30"/>
      <c r="H5" s="31"/>
      <c r="I5" s="32"/>
      <c r="J5" s="70"/>
      <c r="K5" s="163"/>
      <c r="L5" s="124"/>
      <c r="M5" s="29"/>
      <c r="N5" s="30"/>
      <c r="O5" s="31"/>
      <c r="P5" s="32"/>
      <c r="Q5" s="114"/>
      <c r="R5" s="91" t="s">
        <v>221</v>
      </c>
    </row>
    <row r="6" spans="1:18" ht="14.4" customHeight="1" x14ac:dyDescent="0.3">
      <c r="A6" s="6" t="s">
        <v>98</v>
      </c>
      <c r="B6" s="53" t="s">
        <v>200</v>
      </c>
      <c r="C6" s="56" t="str">
        <f t="shared" ref="C6:C18" si="0">_xlfn.CONCAT(",",A6)</f>
        <v>,StateProvinceID</v>
      </c>
      <c r="D6" s="91" t="str">
        <f t="shared" ref="D6:D18" si="1">_xlfn.CONCAT(",s.",A6)</f>
        <v>,s.StateProvinceID</v>
      </c>
      <c r="E6" s="33"/>
      <c r="F6" s="34"/>
      <c r="G6" s="19"/>
      <c r="H6" s="35"/>
      <c r="I6" s="36"/>
      <c r="J6" s="71"/>
      <c r="K6" s="164"/>
      <c r="L6" s="111"/>
      <c r="M6" s="34"/>
      <c r="N6" s="19"/>
      <c r="O6" s="35"/>
      <c r="P6" s="36"/>
      <c r="Q6" s="115"/>
      <c r="R6" s="91" t="s">
        <v>238</v>
      </c>
    </row>
    <row r="7" spans="1:18" ht="14.4" customHeight="1" x14ac:dyDescent="0.3">
      <c r="A7" s="6" t="s">
        <v>52</v>
      </c>
      <c r="B7" s="54" t="s">
        <v>200</v>
      </c>
      <c r="C7" s="56" t="str">
        <f t="shared" si="0"/>
        <v>,TerritoryID</v>
      </c>
      <c r="D7" s="91" t="str">
        <f t="shared" si="1"/>
        <v>,s.TerritoryID</v>
      </c>
      <c r="E7" s="33"/>
      <c r="F7" s="34"/>
      <c r="G7" s="19"/>
      <c r="H7" s="35"/>
      <c r="I7" s="36"/>
      <c r="J7" s="71"/>
      <c r="K7" s="164"/>
      <c r="L7" s="111"/>
      <c r="M7" s="34"/>
      <c r="N7" s="19"/>
      <c r="O7" s="35"/>
      <c r="P7" s="36"/>
      <c r="Q7" s="115"/>
      <c r="R7" s="91" t="s">
        <v>211</v>
      </c>
    </row>
    <row r="8" spans="1:18" ht="14.4" customHeight="1" x14ac:dyDescent="0.3">
      <c r="A8" s="6" t="s">
        <v>101</v>
      </c>
      <c r="B8" s="54" t="s">
        <v>200</v>
      </c>
      <c r="C8" s="56" t="str">
        <f t="shared" si="0"/>
        <v>,AddressLine</v>
      </c>
      <c r="D8" s="91" t="str">
        <f t="shared" si="1"/>
        <v>,s.AddressLine</v>
      </c>
      <c r="E8" s="33"/>
      <c r="F8" s="34"/>
      <c r="G8" s="19"/>
      <c r="H8" s="35"/>
      <c r="I8" s="36"/>
      <c r="J8" s="71"/>
      <c r="K8" s="164"/>
      <c r="L8" s="111"/>
      <c r="M8" s="34"/>
      <c r="N8" s="19"/>
      <c r="O8" s="35"/>
      <c r="P8" s="36"/>
      <c r="Q8" s="115"/>
      <c r="R8" s="91" t="s">
        <v>239</v>
      </c>
    </row>
    <row r="9" spans="1:18" ht="14.4" customHeight="1" x14ac:dyDescent="0.3">
      <c r="A9" s="6" t="s">
        <v>102</v>
      </c>
      <c r="B9" s="54" t="s">
        <v>200</v>
      </c>
      <c r="C9" s="56" t="str">
        <f t="shared" si="0"/>
        <v>,City</v>
      </c>
      <c r="D9" s="91" t="str">
        <f t="shared" si="1"/>
        <v>,s.City</v>
      </c>
      <c r="E9" s="33"/>
      <c r="F9" s="34"/>
      <c r="G9" s="19"/>
      <c r="H9" s="35"/>
      <c r="I9" s="36"/>
      <c r="J9" s="71"/>
      <c r="K9" s="164"/>
      <c r="L9" s="111"/>
      <c r="M9" s="34"/>
      <c r="N9" s="19"/>
      <c r="O9" s="35"/>
      <c r="P9" s="36"/>
      <c r="Q9" s="115"/>
      <c r="R9" s="91" t="s">
        <v>240</v>
      </c>
    </row>
    <row r="10" spans="1:18" ht="14.4" customHeight="1" thickBot="1" x14ac:dyDescent="0.35">
      <c r="A10" s="6" t="s">
        <v>103</v>
      </c>
      <c r="B10" s="54" t="s">
        <v>200</v>
      </c>
      <c r="C10" s="56" t="str">
        <f t="shared" si="0"/>
        <v>,PostalCode</v>
      </c>
      <c r="D10" s="91" t="str">
        <f t="shared" si="1"/>
        <v>,s.PostalCode</v>
      </c>
      <c r="E10" s="33"/>
      <c r="F10" s="34"/>
      <c r="G10" s="19"/>
      <c r="H10" s="35"/>
      <c r="I10" s="36"/>
      <c r="J10" s="71"/>
      <c r="K10" s="164"/>
      <c r="L10" s="125"/>
      <c r="M10" s="42"/>
      <c r="N10" s="39"/>
      <c r="O10" s="40"/>
      <c r="P10" s="41"/>
      <c r="Q10" s="116"/>
      <c r="R10" s="91" t="s">
        <v>241</v>
      </c>
    </row>
    <row r="11" spans="1:18" ht="14.4" customHeight="1" x14ac:dyDescent="0.3">
      <c r="A11" s="6" t="s">
        <v>104</v>
      </c>
      <c r="B11" s="54" t="s">
        <v>200</v>
      </c>
      <c r="C11" s="56" t="str">
        <f t="shared" si="0"/>
        <v>,StateProvinceName</v>
      </c>
      <c r="D11" s="91" t="str">
        <f t="shared" si="1"/>
        <v>,s.StateProvinceName</v>
      </c>
      <c r="E11" s="33"/>
      <c r="F11" s="34"/>
      <c r="G11" s="19"/>
      <c r="H11" s="35"/>
      <c r="I11" s="36"/>
      <c r="J11" s="71"/>
      <c r="K11" s="164"/>
      <c r="L11" s="20"/>
      <c r="M11" s="20"/>
      <c r="N11" s="20"/>
      <c r="O11" s="20"/>
      <c r="P11" s="20"/>
      <c r="Q11" s="20"/>
      <c r="R11" s="91" t="s">
        <v>242</v>
      </c>
    </row>
    <row r="12" spans="1:18" ht="14.4" customHeight="1" x14ac:dyDescent="0.3">
      <c r="A12" s="6" t="s">
        <v>105</v>
      </c>
      <c r="B12" s="54" t="s">
        <v>200</v>
      </c>
      <c r="C12" s="56" t="str">
        <f t="shared" si="0"/>
        <v>,StateProvinceCode</v>
      </c>
      <c r="D12" s="91" t="str">
        <f t="shared" si="1"/>
        <v>,s.StateProvinceCode</v>
      </c>
      <c r="E12" s="33"/>
      <c r="F12" s="34"/>
      <c r="G12" s="19"/>
      <c r="H12" s="35"/>
      <c r="I12" s="36"/>
      <c r="J12" s="71"/>
      <c r="K12" s="164"/>
      <c r="L12" s="22"/>
      <c r="M12" s="22"/>
      <c r="N12" s="22"/>
      <c r="O12" s="22"/>
      <c r="P12" s="22"/>
      <c r="Q12" s="22"/>
      <c r="R12" s="91" t="s">
        <v>243</v>
      </c>
    </row>
    <row r="13" spans="1:18" ht="14.4" customHeight="1" thickBot="1" x14ac:dyDescent="0.35">
      <c r="A13" s="6" t="s">
        <v>60</v>
      </c>
      <c r="B13" s="54" t="s">
        <v>200</v>
      </c>
      <c r="C13" s="56" t="str">
        <f t="shared" si="0"/>
        <v>,TerritoryName</v>
      </c>
      <c r="D13" s="91" t="str">
        <f t="shared" si="1"/>
        <v>,s.TerritoryName</v>
      </c>
      <c r="E13" s="37"/>
      <c r="F13" s="34"/>
      <c r="G13" s="39"/>
      <c r="H13" s="40"/>
      <c r="I13" s="41"/>
      <c r="J13" s="72"/>
      <c r="K13" s="165"/>
      <c r="L13" s="22"/>
      <c r="M13" s="22"/>
      <c r="N13" s="22"/>
      <c r="O13" s="22"/>
      <c r="P13" s="22"/>
      <c r="Q13" s="22"/>
      <c r="R13" s="91" t="s">
        <v>244</v>
      </c>
    </row>
    <row r="14" spans="1:18" ht="14.4" customHeight="1" x14ac:dyDescent="0.3">
      <c r="A14" s="6" t="s">
        <v>61</v>
      </c>
      <c r="B14" s="54" t="s">
        <v>200</v>
      </c>
      <c r="C14" s="56" t="str">
        <f t="shared" si="0"/>
        <v>,CountryRegionName</v>
      </c>
      <c r="D14" s="91" t="str">
        <f t="shared" si="1"/>
        <v>,s.CountryRegionName</v>
      </c>
      <c r="E14" s="21"/>
      <c r="F14" s="22"/>
      <c r="G14" s="22"/>
      <c r="H14" s="22"/>
      <c r="L14" s="22"/>
      <c r="M14" s="22"/>
      <c r="N14" s="22"/>
      <c r="O14" s="22"/>
      <c r="P14" s="22"/>
      <c r="Q14" s="22"/>
      <c r="R14" s="91" t="s">
        <v>245</v>
      </c>
    </row>
    <row r="15" spans="1:18" ht="14.4" customHeight="1" x14ac:dyDescent="0.3">
      <c r="A15" s="6" t="s">
        <v>62</v>
      </c>
      <c r="B15" s="54" t="s">
        <v>200</v>
      </c>
      <c r="C15" s="56" t="str">
        <f t="shared" si="0"/>
        <v>,CountryRegionCode</v>
      </c>
      <c r="D15" s="91" t="str">
        <f t="shared" si="1"/>
        <v>,s.CountryRegionCode</v>
      </c>
      <c r="E15" s="21"/>
      <c r="F15" s="22"/>
      <c r="G15" s="22"/>
      <c r="H15" s="22"/>
      <c r="J15" s="123"/>
      <c r="K15" s="123"/>
      <c r="L15" s="22"/>
      <c r="M15" s="22"/>
      <c r="N15" s="22"/>
      <c r="O15" s="22"/>
      <c r="P15" s="22"/>
      <c r="Q15" s="22"/>
      <c r="R15" s="91" t="s">
        <v>246</v>
      </c>
    </row>
    <row r="16" spans="1:18" ht="14.4" customHeight="1" x14ac:dyDescent="0.3">
      <c r="A16" s="6" t="s">
        <v>63</v>
      </c>
      <c r="B16" s="54" t="s">
        <v>200</v>
      </c>
      <c r="C16" s="56" t="str">
        <f t="shared" si="0"/>
        <v>,TerritoryGroup</v>
      </c>
      <c r="D16" s="91" t="str">
        <f t="shared" si="1"/>
        <v>,s.TerritoryGroup</v>
      </c>
      <c r="E16" s="21"/>
      <c r="F16" s="22"/>
      <c r="G16" s="22"/>
      <c r="H16" s="22"/>
      <c r="L16" s="22"/>
      <c r="M16" s="22"/>
      <c r="N16" s="22"/>
      <c r="O16" s="22"/>
      <c r="P16" s="22"/>
      <c r="Q16" s="22"/>
      <c r="R16" s="91" t="s">
        <v>247</v>
      </c>
    </row>
    <row r="17" spans="1:18" ht="14.4" customHeight="1" x14ac:dyDescent="0.3">
      <c r="A17" s="6" t="s">
        <v>197</v>
      </c>
      <c r="B17" s="54"/>
      <c r="C17" s="56" t="str">
        <f t="shared" si="0"/>
        <v>,ValidityDate_Start</v>
      </c>
      <c r="D17" s="91" t="str">
        <f t="shared" si="1"/>
        <v>,s.ValidityDate_Start</v>
      </c>
      <c r="E17" s="21"/>
      <c r="F17" s="22"/>
      <c r="G17" s="22"/>
      <c r="H17" s="22"/>
      <c r="L17" s="22"/>
      <c r="M17" s="22"/>
      <c r="N17" s="22"/>
      <c r="O17" s="22"/>
      <c r="P17" s="22"/>
      <c r="Q17" s="22"/>
      <c r="R17" s="91" t="s">
        <v>214</v>
      </c>
    </row>
    <row r="18" spans="1:18" ht="14.4" customHeight="1" thickBot="1" x14ac:dyDescent="0.35">
      <c r="A18" s="106" t="s">
        <v>198</v>
      </c>
      <c r="B18" s="107"/>
      <c r="C18" s="101" t="str">
        <f t="shared" si="0"/>
        <v>,ValidityDate_End</v>
      </c>
      <c r="D18" s="92" t="str">
        <f t="shared" si="1"/>
        <v>,s.ValidityDate_End</v>
      </c>
      <c r="E18" s="23"/>
      <c r="F18" s="24"/>
      <c r="G18" s="24"/>
      <c r="H18" s="24"/>
      <c r="R18" s="91" t="s">
        <v>215</v>
      </c>
    </row>
    <row r="19" spans="1:18" ht="14.4" customHeight="1" thickBot="1" x14ac:dyDescent="0.35">
      <c r="A19" s="15" t="s">
        <v>112</v>
      </c>
      <c r="B19" s="17"/>
      <c r="C19" s="15" t="s">
        <v>112</v>
      </c>
      <c r="D19" s="17"/>
      <c r="E19" s="15" t="s">
        <v>112</v>
      </c>
      <c r="F19" s="16"/>
      <c r="G19" s="18"/>
      <c r="H19" s="18"/>
      <c r="I19" s="18"/>
      <c r="J19" s="17"/>
      <c r="K19" s="16"/>
      <c r="L19" s="15" t="s">
        <v>112</v>
      </c>
      <c r="M19" s="16"/>
      <c r="N19" s="16"/>
      <c r="O19" s="16"/>
      <c r="P19" s="16"/>
      <c r="Q19" s="16"/>
      <c r="R19" s="118" t="s">
        <v>112</v>
      </c>
    </row>
    <row r="20" spans="1:18" ht="14.4" customHeight="1" x14ac:dyDescent="0.3">
      <c r="A20" s="10" t="s">
        <v>48</v>
      </c>
      <c r="B20" s="52" t="s">
        <v>200</v>
      </c>
      <c r="C20" s="55" t="str">
        <f>A20</f>
        <v xml:space="preserve">CustomerID </v>
      </c>
      <c r="D20" s="110" t="str">
        <f>_xlfn.CONCAT("s.",A20)</f>
        <v xml:space="preserve">s.CustomerID </v>
      </c>
      <c r="E20" s="28" t="str" cm="1">
        <f t="array" ref="E20:E31">_xlfn.UNIQUE(_xlfn._xlws.FILTER(A20:A36, (B20:B36=1) + (B20:B36="Fixed")))</f>
        <v xml:space="preserve">CustomerID </v>
      </c>
      <c r="F20" s="29" t="str">
        <f>_xlfn.XLOOKUP(E20,$A$20:$A$36,$B$20:$B$36,"",0)</f>
        <v>Fixed</v>
      </c>
      <c r="G20" s="30" t="str">
        <f>_xlfn.CONCAT("d.",E20)</f>
        <v xml:space="preserve">d.CustomerID </v>
      </c>
      <c r="H20" s="31" t="str">
        <f xml:space="preserve"> IF(F20="Fixed","=","&lt;&gt;")</f>
        <v>=</v>
      </c>
      <c r="I20" s="32" t="str">
        <f>_xlfn.CONCAT("s.",E20)</f>
        <v xml:space="preserve">s.CustomerID </v>
      </c>
      <c r="J20" s="70" t="str">
        <f xml:space="preserve">
IF(AND(F19&lt;&gt;"Fixed", F20="Fixed"),_xlfn.CONCAT("' ",G20, " ", H20, " ", I20),
IF(AND(F19="Fixed", F20="Fixed"),_xlfn.CONCAT("and ", G20, " ", H20, " ", I20),
IF(AND(F19="Fixed", F20=1),_xlfn.CONCAT( "and ( ",G20, " ", H20, " ", I20),
IF(AND(F19=1, F20=1,F21 = 1),_xlfn.CONCAT( "or  ",G20, " ", H20, " ", I20),
IF(AND(F19=1, F20=1,F21 &lt;&gt; 1),_xlfn.CONCAT( "or  ",G20, " ", H20, " ", I20, " ) '")
)))))</f>
        <v xml:space="preserve">' d.CustomerID  = s.CustomerID </v>
      </c>
      <c r="K20" s="163" t="str" cm="1">
        <f t="array" ref="K20">_xlfn.TEXTJOIN(_xlfn.CONCAT(CHAR(10)," ,"), FALSE,_xlfn.ANCHORARRAY( E20) &amp; " = " &amp; I20:I31)</f>
        <v>CustomerID  = s.CustomerID 
 ,CustomerPersonID = s.CustomerPersonID
 ,PersonType = s.PersonType
 ,StoreID = s.StoreID
 ,SalesPersonID = s.SalesPersonID
 ,TerritoryID = s.TerritoryID
 ,Title = s.Title
 ,StoreName = s.StoreName
 ,TerritoryName = s.TerritoryName
 ,CountryRegionName = s.CountryRegionName
 ,CountryRegionCode = s.CountryRegionCode
 ,TerritoryGroup = s.TerritoryGroup</v>
      </c>
      <c r="L20" s="124" t="str" cm="1">
        <f t="array" ref="L20:L25">_xlfn.UNIQUE(_xlfn._xlws.FILTER(A20:A36, (B20:B36=2) + (B20:B36="Fixed")))</f>
        <v xml:space="preserve">CustomerID </v>
      </c>
      <c r="M20" s="29" t="str">
        <f t="shared" ref="M20:M25" si="2">_xlfn.XLOOKUP(L20,$A$20:$A$36,$B$20:$B$36,"",0)</f>
        <v>Fixed</v>
      </c>
      <c r="N20" s="30" t="str">
        <f t="shared" ref="N20:N25" si="3">_xlfn.CONCAT("d.",L20)</f>
        <v xml:space="preserve">d.CustomerID </v>
      </c>
      <c r="O20" s="31" t="str">
        <f t="shared" ref="O20:O25" si="4" xml:space="preserve"> IF(M20="Fixed","=","&lt;&gt;")</f>
        <v>=</v>
      </c>
      <c r="P20" s="32" t="str">
        <f t="shared" ref="P20:P25" si="5">_xlfn.CONCAT("s.",L20)</f>
        <v xml:space="preserve">s.CustomerID </v>
      </c>
      <c r="Q20" s="114" t="str">
        <f t="shared" ref="Q20:Q25" si="6" xml:space="preserve">
IF(AND(M19&lt;&gt;"Fixed", M20="Fixed"),_xlfn.CONCAT("' ",N20, " ", O20, " ", P20),
IF(AND(M19="Fixed", M20="Fixed"),_xlfn.CONCAT("and ", N20, " ", O20, " ", P20),
IF(AND(M19="Fixed", M20=2),_xlfn.CONCAT( "and ( ",N20, " ", O20, " ", P20),
IF(AND(M19=2, M20=2,M21 = 2),_xlfn.CONCAT( "or  ",N20, " ", O20, " ", P20),
IF(AND(M19=2, M20=2,M21 &lt;&gt; 2),_xlfn.CONCAT( "or  ",N20, " ", O20, " ", P20, " ) '")
)))))</f>
        <v xml:space="preserve">' d.CustomerID  = s.CustomerID </v>
      </c>
      <c r="R20" s="110" t="s">
        <v>207</v>
      </c>
    </row>
    <row r="21" spans="1:18" ht="14.4" customHeight="1" x14ac:dyDescent="0.3">
      <c r="A21" s="6" t="s">
        <v>49</v>
      </c>
      <c r="B21" s="53" t="s">
        <v>200</v>
      </c>
      <c r="C21" s="56" t="str">
        <f t="shared" ref="C21:C36" si="7">_xlfn.CONCAT(",",A21)</f>
        <v>,CustomerPersonID</v>
      </c>
      <c r="D21" s="91" t="str">
        <f t="shared" ref="D21:D36" si="8">_xlfn.CONCAT(",s.",A21)</f>
        <v>,s.CustomerPersonID</v>
      </c>
      <c r="E21" s="33" t="str">
        <v>CustomerPersonID</v>
      </c>
      <c r="F21" s="34" t="str">
        <f t="shared" ref="F21:F31" si="9">_xlfn.XLOOKUP(E21,$A$20:$A$36,$B$20:$B$36,"",0)</f>
        <v>Fixed</v>
      </c>
      <c r="G21" s="19" t="str">
        <f t="shared" ref="G21:G31" si="10">_xlfn.CONCAT("d.",E21)</f>
        <v>d.CustomerPersonID</v>
      </c>
      <c r="H21" s="35" t="str">
        <f t="shared" ref="H21:H31" si="11" xml:space="preserve"> IF(F21="Fixed","=","&lt;&gt;")</f>
        <v>=</v>
      </c>
      <c r="I21" s="36" t="str">
        <f t="shared" ref="I21:I31" si="12">_xlfn.CONCAT("s.",E21)</f>
        <v>s.CustomerPersonID</v>
      </c>
      <c r="J21" s="71" t="str">
        <f t="shared" ref="J21:J31" si="13" xml:space="preserve">
IF(AND(F20&lt;&gt;"Fixed", F21="Fixed"),_xlfn.CONCAT("' ",G21, " ", H21, " ", I21),
IF(AND(F20="Fixed", F21="Fixed"),_xlfn.CONCAT("and ", G21, " ", H21, " ", I21),
IF(AND(F20="Fixed", F21=1),_xlfn.CONCAT( "and ( ",G21, " ", H21, " ", I21),
IF(AND(F20=1, F21=1,F22 = 1),_xlfn.CONCAT( "or  ",G21, " ", H21, " ", I21),
IF(AND(F20=1, F21=1,F22 &lt;&gt; 1),_xlfn.CONCAT( "or  ",G21, " ", H21, " ", I21, " ) '")
)))))</f>
        <v>and d.CustomerPersonID = s.CustomerPersonID</v>
      </c>
      <c r="K21" s="164"/>
      <c r="L21" s="111" t="str">
        <v>CustomerPersonID</v>
      </c>
      <c r="M21" s="34" t="str">
        <f t="shared" si="2"/>
        <v>Fixed</v>
      </c>
      <c r="N21" s="19" t="str">
        <f t="shared" si="3"/>
        <v>d.CustomerPersonID</v>
      </c>
      <c r="O21" s="35" t="str">
        <f t="shared" si="4"/>
        <v>=</v>
      </c>
      <c r="P21" s="36" t="str">
        <f t="shared" si="5"/>
        <v>s.CustomerPersonID</v>
      </c>
      <c r="Q21" s="115" t="str">
        <f t="shared" si="6"/>
        <v>and d.CustomerPersonID = s.CustomerPersonID</v>
      </c>
      <c r="R21" s="91" t="s">
        <v>208</v>
      </c>
    </row>
    <row r="22" spans="1:18" ht="14.4" customHeight="1" thickBot="1" x14ac:dyDescent="0.35">
      <c r="A22" s="6" t="s">
        <v>53</v>
      </c>
      <c r="B22" s="54" t="s">
        <v>200</v>
      </c>
      <c r="C22" s="56" t="str">
        <f t="shared" si="7"/>
        <v>,PersonType</v>
      </c>
      <c r="D22" s="91" t="str">
        <f t="shared" si="8"/>
        <v>,s.PersonType</v>
      </c>
      <c r="E22" s="33" t="str">
        <v>PersonType</v>
      </c>
      <c r="F22" s="34" t="str">
        <f t="shared" si="9"/>
        <v>Fixed</v>
      </c>
      <c r="G22" s="19" t="str">
        <f t="shared" si="10"/>
        <v>d.PersonType</v>
      </c>
      <c r="H22" s="35" t="str">
        <f t="shared" si="11"/>
        <v>=</v>
      </c>
      <c r="I22" s="36" t="str">
        <f t="shared" si="12"/>
        <v>s.PersonType</v>
      </c>
      <c r="J22" s="71" t="str">
        <f t="shared" si="13"/>
        <v>and d.PersonType = s.PersonType</v>
      </c>
      <c r="K22" s="164"/>
      <c r="L22" s="125" t="str">
        <v>PersonType</v>
      </c>
      <c r="M22" s="38" t="str">
        <f t="shared" si="2"/>
        <v>Fixed</v>
      </c>
      <c r="N22" s="39" t="str">
        <f t="shared" si="3"/>
        <v>d.PersonType</v>
      </c>
      <c r="O22" s="40" t="str">
        <f t="shared" si="4"/>
        <v>=</v>
      </c>
      <c r="P22" s="41" t="str">
        <f t="shared" si="5"/>
        <v>s.PersonType</v>
      </c>
      <c r="Q22" s="115" t="str">
        <f t="shared" si="6"/>
        <v>and d.PersonType = s.PersonType</v>
      </c>
      <c r="R22" s="91" t="s">
        <v>248</v>
      </c>
    </row>
    <row r="23" spans="1:18" ht="14.4" customHeight="1" x14ac:dyDescent="0.3">
      <c r="A23" s="6" t="s">
        <v>50</v>
      </c>
      <c r="B23" s="54">
        <v>1</v>
      </c>
      <c r="C23" s="56" t="str">
        <f t="shared" si="7"/>
        <v>,StoreID</v>
      </c>
      <c r="D23" s="91" t="str">
        <f t="shared" si="8"/>
        <v>,s.StoreID</v>
      </c>
      <c r="E23" s="33" t="str">
        <v>StoreID</v>
      </c>
      <c r="F23" s="34">
        <f t="shared" si="9"/>
        <v>1</v>
      </c>
      <c r="G23" s="19" t="str">
        <f t="shared" si="10"/>
        <v>d.StoreID</v>
      </c>
      <c r="H23" s="35" t="str">
        <f t="shared" si="11"/>
        <v>&lt;&gt;</v>
      </c>
      <c r="I23" s="36" t="str">
        <f t="shared" si="12"/>
        <v>s.StoreID</v>
      </c>
      <c r="J23" s="71" t="str">
        <f t="shared" si="13"/>
        <v>and ( d.StoreID &lt;&gt; s.StoreID</v>
      </c>
      <c r="K23" s="164"/>
      <c r="L23" s="111" t="str">
        <v>FirstName</v>
      </c>
      <c r="M23" s="34">
        <f t="shared" si="2"/>
        <v>2</v>
      </c>
      <c r="N23" s="19" t="str">
        <f t="shared" si="3"/>
        <v>d.FirstName</v>
      </c>
      <c r="O23" s="35" t="str">
        <f t="shared" si="4"/>
        <v>&lt;&gt;</v>
      </c>
      <c r="P23" s="36" t="str">
        <f t="shared" si="5"/>
        <v>s.FirstName</v>
      </c>
      <c r="Q23" s="115" t="str">
        <f t="shared" si="6"/>
        <v>and ( d.FirstName &lt;&gt; s.FirstName</v>
      </c>
      <c r="R23" s="91" t="s">
        <v>209</v>
      </c>
    </row>
    <row r="24" spans="1:18" ht="14.4" customHeight="1" x14ac:dyDescent="0.3">
      <c r="A24" s="6" t="s">
        <v>51</v>
      </c>
      <c r="B24" s="54">
        <v>1</v>
      </c>
      <c r="C24" s="56" t="str">
        <f t="shared" si="7"/>
        <v>,SalesPersonID</v>
      </c>
      <c r="D24" s="91" t="str">
        <f t="shared" si="8"/>
        <v>,s.SalesPersonID</v>
      </c>
      <c r="E24" s="33" t="str">
        <v>SalesPersonID</v>
      </c>
      <c r="F24" s="34">
        <f t="shared" si="9"/>
        <v>1</v>
      </c>
      <c r="G24" s="19" t="str">
        <f t="shared" si="10"/>
        <v>d.SalesPersonID</v>
      </c>
      <c r="H24" s="35" t="str">
        <f t="shared" si="11"/>
        <v>&lt;&gt;</v>
      </c>
      <c r="I24" s="36" t="str">
        <f t="shared" si="12"/>
        <v>s.SalesPersonID</v>
      </c>
      <c r="J24" s="71" t="str">
        <f t="shared" si="13"/>
        <v>or  d.SalesPersonID &lt;&gt; s.SalesPersonID</v>
      </c>
      <c r="K24" s="164"/>
      <c r="L24" s="111" t="str">
        <v>MiddleName</v>
      </c>
      <c r="M24" s="34">
        <f t="shared" si="2"/>
        <v>2</v>
      </c>
      <c r="N24" s="19" t="str">
        <f t="shared" si="3"/>
        <v>d.MiddleName</v>
      </c>
      <c r="O24" s="35" t="str">
        <f t="shared" si="4"/>
        <v>&lt;&gt;</v>
      </c>
      <c r="P24" s="36" t="str">
        <f t="shared" si="5"/>
        <v>s.MiddleName</v>
      </c>
      <c r="Q24" s="115" t="str">
        <f t="shared" si="6"/>
        <v>or  d.MiddleName &lt;&gt; s.MiddleName</v>
      </c>
      <c r="R24" s="91" t="s">
        <v>210</v>
      </c>
    </row>
    <row r="25" spans="1:18" ht="14.4" customHeight="1" thickBot="1" x14ac:dyDescent="0.35">
      <c r="A25" s="6" t="s">
        <v>52</v>
      </c>
      <c r="B25" s="54">
        <v>1</v>
      </c>
      <c r="C25" s="56" t="str">
        <f t="shared" si="7"/>
        <v>,TerritoryID</v>
      </c>
      <c r="D25" s="91" t="str">
        <f t="shared" si="8"/>
        <v>,s.TerritoryID</v>
      </c>
      <c r="E25" s="33" t="str">
        <v>TerritoryID</v>
      </c>
      <c r="F25" s="34">
        <f t="shared" si="9"/>
        <v>1</v>
      </c>
      <c r="G25" s="19" t="str">
        <f t="shared" si="10"/>
        <v>d.TerritoryID</v>
      </c>
      <c r="H25" s="35" t="str">
        <f t="shared" si="11"/>
        <v>&lt;&gt;</v>
      </c>
      <c r="I25" s="36" t="str">
        <f t="shared" si="12"/>
        <v>s.TerritoryID</v>
      </c>
      <c r="J25" s="71" t="str">
        <f t="shared" si="13"/>
        <v>or  d.TerritoryID &lt;&gt; s.TerritoryID</v>
      </c>
      <c r="K25" s="164"/>
      <c r="L25" s="111" t="str">
        <v>LastName</v>
      </c>
      <c r="M25" s="34">
        <f t="shared" si="2"/>
        <v>2</v>
      </c>
      <c r="N25" s="19" t="str">
        <f t="shared" si="3"/>
        <v>d.LastName</v>
      </c>
      <c r="O25" s="35" t="str">
        <f t="shared" si="4"/>
        <v>&lt;&gt;</v>
      </c>
      <c r="P25" s="36" t="str">
        <f t="shared" si="5"/>
        <v>s.LastName</v>
      </c>
      <c r="Q25" s="115" t="str">
        <f t="shared" si="6"/>
        <v>or  d.LastName &lt;&gt; s.LastName ) '</v>
      </c>
      <c r="R25" s="91" t="s">
        <v>211</v>
      </c>
    </row>
    <row r="26" spans="1:18" ht="14.4" customHeight="1" x14ac:dyDescent="0.3">
      <c r="A26" s="6" t="s">
        <v>55</v>
      </c>
      <c r="B26" s="54">
        <v>1</v>
      </c>
      <c r="C26" s="56" t="str">
        <f t="shared" si="7"/>
        <v>,Title</v>
      </c>
      <c r="D26" s="91" t="str">
        <f t="shared" si="8"/>
        <v>,s.Title</v>
      </c>
      <c r="E26" s="33" t="str">
        <v>Title</v>
      </c>
      <c r="F26" s="34">
        <f t="shared" si="9"/>
        <v>1</v>
      </c>
      <c r="G26" s="19" t="str">
        <f t="shared" si="10"/>
        <v>d.Title</v>
      </c>
      <c r="H26" s="35" t="str">
        <f t="shared" si="11"/>
        <v>&lt;&gt;</v>
      </c>
      <c r="I26" s="36" t="str">
        <f t="shared" si="12"/>
        <v>s.Title</v>
      </c>
      <c r="J26" s="71" t="str">
        <f t="shared" si="13"/>
        <v>or  d.Title &lt;&gt; s.Title</v>
      </c>
      <c r="K26" s="164"/>
      <c r="L26" s="20"/>
      <c r="M26" s="20"/>
      <c r="N26" s="20"/>
      <c r="O26" s="20"/>
      <c r="P26" s="20"/>
      <c r="Q26" s="20"/>
      <c r="R26" s="91" t="s">
        <v>212</v>
      </c>
    </row>
    <row r="27" spans="1:18" ht="14.4" customHeight="1" x14ac:dyDescent="0.3">
      <c r="A27" s="6" t="s">
        <v>56</v>
      </c>
      <c r="B27" s="54">
        <v>2</v>
      </c>
      <c r="C27" s="56" t="str">
        <f t="shared" si="7"/>
        <v>,FirstName</v>
      </c>
      <c r="D27" s="91" t="str">
        <f t="shared" si="8"/>
        <v>,s.FirstName</v>
      </c>
      <c r="E27" s="33" t="str">
        <v>StoreName</v>
      </c>
      <c r="F27" s="34">
        <f t="shared" si="9"/>
        <v>1</v>
      </c>
      <c r="G27" s="19" t="str">
        <f t="shared" si="10"/>
        <v>d.StoreName</v>
      </c>
      <c r="H27" s="35" t="str">
        <f t="shared" si="11"/>
        <v>&lt;&gt;</v>
      </c>
      <c r="I27" s="36" t="str">
        <f t="shared" si="12"/>
        <v>s.StoreName</v>
      </c>
      <c r="J27" s="71" t="str">
        <f t="shared" si="13"/>
        <v>or  d.StoreName &lt;&gt; s.StoreName</v>
      </c>
      <c r="K27" s="164"/>
      <c r="L27" s="22"/>
      <c r="M27" s="22"/>
      <c r="N27" s="22"/>
      <c r="O27" s="22"/>
      <c r="P27" s="22"/>
      <c r="Q27" s="22"/>
      <c r="R27" s="91" t="s">
        <v>249</v>
      </c>
    </row>
    <row r="28" spans="1:18" ht="14.4" customHeight="1" x14ac:dyDescent="0.3">
      <c r="A28" s="6" t="s">
        <v>57</v>
      </c>
      <c r="B28" s="54">
        <v>2</v>
      </c>
      <c r="C28" s="56" t="str">
        <f t="shared" si="7"/>
        <v>,MiddleName</v>
      </c>
      <c r="D28" s="91" t="str">
        <f t="shared" si="8"/>
        <v>,s.MiddleName</v>
      </c>
      <c r="E28" s="33" t="str">
        <v>TerritoryName</v>
      </c>
      <c r="F28" s="34">
        <f t="shared" si="9"/>
        <v>1</v>
      </c>
      <c r="G28" s="19" t="str">
        <f t="shared" si="10"/>
        <v>d.TerritoryName</v>
      </c>
      <c r="H28" s="35" t="str">
        <f t="shared" si="11"/>
        <v>&lt;&gt;</v>
      </c>
      <c r="I28" s="36" t="str">
        <f t="shared" si="12"/>
        <v>s.TerritoryName</v>
      </c>
      <c r="J28" s="71" t="str">
        <f t="shared" si="13"/>
        <v>or  d.TerritoryName &lt;&gt; s.TerritoryName</v>
      </c>
      <c r="K28" s="164"/>
      <c r="L28" s="22"/>
      <c r="M28" s="22"/>
      <c r="N28" s="22"/>
      <c r="O28" s="22"/>
      <c r="P28" s="22"/>
      <c r="Q28" s="22"/>
      <c r="R28" s="91" t="s">
        <v>213</v>
      </c>
    </row>
    <row r="29" spans="1:18" ht="14.4" customHeight="1" x14ac:dyDescent="0.3">
      <c r="A29" s="6" t="s">
        <v>58</v>
      </c>
      <c r="B29" s="54">
        <v>2</v>
      </c>
      <c r="C29" s="56" t="str">
        <f t="shared" si="7"/>
        <v>,LastName</v>
      </c>
      <c r="D29" s="91" t="str">
        <f t="shared" si="8"/>
        <v>,s.LastName</v>
      </c>
      <c r="E29" s="33" t="str">
        <v>CountryRegionName</v>
      </c>
      <c r="F29" s="34">
        <f t="shared" si="9"/>
        <v>1</v>
      </c>
      <c r="G29" s="19" t="str">
        <f t="shared" si="10"/>
        <v>d.CountryRegionName</v>
      </c>
      <c r="H29" s="35" t="str">
        <f t="shared" si="11"/>
        <v>&lt;&gt;</v>
      </c>
      <c r="I29" s="36" t="str">
        <f t="shared" si="12"/>
        <v>s.CountryRegionName</v>
      </c>
      <c r="J29" s="71" t="str">
        <f t="shared" si="13"/>
        <v>or  d.CountryRegionName &lt;&gt; s.CountryRegionName</v>
      </c>
      <c r="K29" s="164"/>
      <c r="L29" s="22"/>
      <c r="M29" s="22"/>
      <c r="N29" s="22"/>
      <c r="O29" s="22"/>
      <c r="P29" s="22"/>
      <c r="Q29" s="22"/>
      <c r="R29" s="91" t="s">
        <v>250</v>
      </c>
    </row>
    <row r="30" spans="1:18" ht="14.4" customHeight="1" x14ac:dyDescent="0.3">
      <c r="A30" s="6" t="s">
        <v>59</v>
      </c>
      <c r="B30" s="54">
        <v>1</v>
      </c>
      <c r="C30" s="56" t="str">
        <f t="shared" si="7"/>
        <v>,StoreName</v>
      </c>
      <c r="D30" s="91" t="str">
        <f t="shared" si="8"/>
        <v>,s.StoreName</v>
      </c>
      <c r="E30" s="33" t="str">
        <v>CountryRegionCode</v>
      </c>
      <c r="F30" s="34">
        <f t="shared" si="9"/>
        <v>1</v>
      </c>
      <c r="G30" s="19" t="str">
        <f t="shared" si="10"/>
        <v>d.CountryRegionCode</v>
      </c>
      <c r="H30" s="35" t="str">
        <f t="shared" si="11"/>
        <v>&lt;&gt;</v>
      </c>
      <c r="I30" s="36" t="str">
        <f t="shared" si="12"/>
        <v>s.CountryRegionCode</v>
      </c>
      <c r="J30" s="71" t="str">
        <f t="shared" si="13"/>
        <v>or  d.CountryRegionCode &lt;&gt; s.CountryRegionCode</v>
      </c>
      <c r="K30" s="164"/>
      <c r="L30" s="22"/>
      <c r="M30" s="22"/>
      <c r="N30" s="22"/>
      <c r="O30" s="22"/>
      <c r="P30" s="22"/>
      <c r="Q30" s="22"/>
      <c r="R30" s="91" t="s">
        <v>251</v>
      </c>
    </row>
    <row r="31" spans="1:18" ht="14.4" customHeight="1" thickBot="1" x14ac:dyDescent="0.35">
      <c r="A31" s="6" t="s">
        <v>60</v>
      </c>
      <c r="B31" s="54">
        <v>1</v>
      </c>
      <c r="C31" s="56" t="str">
        <f t="shared" si="7"/>
        <v>,TerritoryName</v>
      </c>
      <c r="D31" s="91" t="str">
        <f t="shared" si="8"/>
        <v>,s.TerritoryName</v>
      </c>
      <c r="E31" s="37" t="str">
        <v>TerritoryGroup</v>
      </c>
      <c r="F31" s="38">
        <f t="shared" si="9"/>
        <v>1</v>
      </c>
      <c r="G31" s="39" t="str">
        <f t="shared" si="10"/>
        <v>d.TerritoryGroup</v>
      </c>
      <c r="H31" s="40" t="str">
        <f t="shared" si="11"/>
        <v>&lt;&gt;</v>
      </c>
      <c r="I31" s="41" t="str">
        <f t="shared" si="12"/>
        <v>s.TerritoryGroup</v>
      </c>
      <c r="J31" s="72" t="str">
        <f t="shared" si="13"/>
        <v>or  d.TerritoryGroup &lt;&gt; s.TerritoryGroup ) '</v>
      </c>
      <c r="K31" s="165"/>
      <c r="L31" s="22"/>
      <c r="M31" s="22"/>
      <c r="N31" s="22"/>
      <c r="O31" s="22"/>
      <c r="P31" s="22"/>
      <c r="Q31" s="22"/>
      <c r="R31" s="91" t="s">
        <v>244</v>
      </c>
    </row>
    <row r="32" spans="1:18" ht="14.4" customHeight="1" x14ac:dyDescent="0.3">
      <c r="A32" s="6" t="s">
        <v>61</v>
      </c>
      <c r="B32" s="54">
        <v>1</v>
      </c>
      <c r="C32" s="56" t="str">
        <f t="shared" si="7"/>
        <v>,CountryRegionName</v>
      </c>
      <c r="D32" s="91" t="str">
        <f t="shared" si="8"/>
        <v>,s.CountryRegionName</v>
      </c>
      <c r="E32" s="21"/>
      <c r="F32" s="22"/>
      <c r="G32" s="22"/>
      <c r="H32" s="22"/>
      <c r="L32" s="22"/>
      <c r="M32" s="22"/>
      <c r="N32" s="22"/>
      <c r="O32" s="22"/>
      <c r="P32" s="22"/>
      <c r="Q32" s="22"/>
      <c r="R32" s="91" t="s">
        <v>245</v>
      </c>
    </row>
    <row r="33" spans="1:18" ht="14.4" customHeight="1" x14ac:dyDescent="0.3">
      <c r="A33" s="6" t="s">
        <v>62</v>
      </c>
      <c r="B33" s="54">
        <v>1</v>
      </c>
      <c r="C33" s="56" t="str">
        <f t="shared" si="7"/>
        <v>,CountryRegionCode</v>
      </c>
      <c r="D33" s="91" t="str">
        <f t="shared" si="8"/>
        <v>,s.CountryRegionCode</v>
      </c>
      <c r="E33" s="21"/>
      <c r="F33" s="22"/>
      <c r="G33" s="22"/>
      <c r="H33" s="22"/>
      <c r="L33" s="22"/>
      <c r="M33" s="22"/>
      <c r="N33" s="22"/>
      <c r="O33" s="22"/>
      <c r="P33" s="22"/>
      <c r="Q33" s="22"/>
      <c r="R33" s="91" t="s">
        <v>246</v>
      </c>
    </row>
    <row r="34" spans="1:18" ht="14.4" customHeight="1" x14ac:dyDescent="0.3">
      <c r="A34" s="6" t="s">
        <v>63</v>
      </c>
      <c r="B34" s="54">
        <v>1</v>
      </c>
      <c r="C34" s="56" t="str">
        <f t="shared" si="7"/>
        <v>,TerritoryGroup</v>
      </c>
      <c r="D34" s="91" t="str">
        <f t="shared" si="8"/>
        <v>,s.TerritoryGroup</v>
      </c>
      <c r="E34" s="21"/>
      <c r="F34" s="22"/>
      <c r="G34" s="22"/>
      <c r="H34" s="22"/>
      <c r="L34" s="22"/>
      <c r="M34" s="22"/>
      <c r="N34" s="22"/>
      <c r="O34" s="22"/>
      <c r="P34" s="22"/>
      <c r="Q34" s="22"/>
      <c r="R34" s="91" t="s">
        <v>247</v>
      </c>
    </row>
    <row r="35" spans="1:18" ht="14.4" customHeight="1" x14ac:dyDescent="0.3">
      <c r="A35" s="6" t="s">
        <v>197</v>
      </c>
      <c r="B35" s="54"/>
      <c r="C35" s="56" t="str">
        <f t="shared" si="7"/>
        <v>,ValidityDate_Start</v>
      </c>
      <c r="D35" s="91" t="str">
        <f t="shared" si="8"/>
        <v>,s.ValidityDate_Start</v>
      </c>
      <c r="E35" s="21"/>
      <c r="F35" s="22"/>
      <c r="G35" s="22"/>
      <c r="H35" s="22"/>
      <c r="L35" s="22"/>
      <c r="M35" s="22"/>
      <c r="N35" s="22"/>
      <c r="O35" s="22"/>
      <c r="P35" s="22"/>
      <c r="Q35" s="22"/>
      <c r="R35" s="91" t="s">
        <v>214</v>
      </c>
    </row>
    <row r="36" spans="1:18" ht="14.4" customHeight="1" thickBot="1" x14ac:dyDescent="0.35">
      <c r="A36" s="106" t="s">
        <v>198</v>
      </c>
      <c r="B36" s="107"/>
      <c r="C36" s="101" t="str">
        <f t="shared" si="7"/>
        <v>,ValidityDate_End</v>
      </c>
      <c r="D36" s="92" t="str">
        <f t="shared" si="8"/>
        <v>,s.ValidityDate_End</v>
      </c>
      <c r="E36" s="23"/>
      <c r="F36" s="24"/>
      <c r="G36" s="24"/>
      <c r="H36" s="24"/>
      <c r="R36" s="92" t="s">
        <v>215</v>
      </c>
    </row>
    <row r="37" spans="1:18" ht="14.4" customHeight="1" thickBot="1" x14ac:dyDescent="0.35">
      <c r="A37" s="15" t="s">
        <v>114</v>
      </c>
      <c r="B37" s="17"/>
      <c r="C37" s="15" t="s">
        <v>114</v>
      </c>
      <c r="D37" s="17"/>
      <c r="E37" s="15" t="s">
        <v>114</v>
      </c>
      <c r="F37" s="16"/>
      <c r="G37" s="18"/>
      <c r="H37" s="18"/>
      <c r="I37" s="18"/>
      <c r="J37" s="17"/>
      <c r="K37" s="16"/>
      <c r="L37" s="15" t="s">
        <v>114</v>
      </c>
      <c r="M37" s="16"/>
      <c r="N37" s="16"/>
      <c r="O37" s="16"/>
      <c r="P37" s="16"/>
      <c r="Q37" s="16"/>
      <c r="R37" s="118" t="s">
        <v>114</v>
      </c>
    </row>
    <row r="38" spans="1:18" ht="14.4" customHeight="1" x14ac:dyDescent="0.3">
      <c r="A38" s="10" t="s">
        <v>4</v>
      </c>
      <c r="B38" s="52" t="s">
        <v>200</v>
      </c>
      <c r="C38" s="55" t="str">
        <f>A38</f>
        <v>ProductNumber</v>
      </c>
      <c r="D38" s="91" t="str">
        <f>_xlfn.CONCAT("s.",A38)</f>
        <v>s.ProductNumber</v>
      </c>
      <c r="E38" s="28" t="str" cm="1">
        <f t="array" ref="E38:E52">_xlfn.UNIQUE(_xlfn._xlws.FILTER(A38:A60, (B38:B60=1) + (B38:B60="Fixed")))</f>
        <v>ProductNumber</v>
      </c>
      <c r="F38" s="29" t="str">
        <f>_xlfn.XLOOKUP(E38,$A$38:$A$60,$B$38:$B$60,"",0)</f>
        <v>Fixed</v>
      </c>
      <c r="G38" s="30" t="str">
        <f>_xlfn.CONCAT("d.",E38)</f>
        <v>d.ProductNumber</v>
      </c>
      <c r="H38" s="31" t="str">
        <f xml:space="preserve"> IF(F38="Fixed","=","&lt;&gt;")</f>
        <v>=</v>
      </c>
      <c r="I38" s="32" t="str">
        <f>_xlfn.CONCAT("s.",E38)</f>
        <v>s.ProductNumber</v>
      </c>
      <c r="J38" s="70" t="str">
        <f xml:space="preserve">
IF(AND(F37&lt;&gt;"Fixed", F38="Fixed"),_xlfn.CONCAT("' ",G38, " ", H38, " ", I38),
IF(AND(F37="Fixed", F38="Fixed"),_xlfn.CONCAT("and ", G38, " ", H38, " ", I38),
IF(AND(F37="Fixed", F38=1),_xlfn.CONCAT( "and ( ",G38, " ", H38, " ", I38),
IF(AND(F37=1, F38=1,F39 = 1),_xlfn.CONCAT( "or  ",G38, " ", H38, " ", I38),
IF(AND(F37=1, F38=1,F39 &lt;&gt; 1),_xlfn.CONCAT( "or  ",G38, " ", H38, " ", I38, " ) '")
)))))</f>
        <v>' d.ProductNumber = s.ProductNumber</v>
      </c>
      <c r="K38" s="163" t="str" cm="1">
        <f t="array" ref="K38">_xlfn.TEXTJOIN(_xlfn.CONCAT(CHAR(10)," ,"), FALSE,_xlfn.ANCHORARRAY( E38) &amp; " = " &amp; I38:I52)</f>
        <v>ProductNumber = s.ProductNumber
 ,ProductID = s.ProductID
 ,ProductCategoryID = s.ProductCategoryID
 ,ProductSubcategoryID = s.ProductSubcategoryID
 ,UnitSizeCode = s.UnitSizeCode
 ,UnitWeightCode = s.UnitWeightCode
 ,ProductName = s.ProductName
 ,ProductCategoryName = s.ProductCategoryName
 ,ProductSubcategoryName = s.ProductSubcategoryName
 ,ProductSize = s.ProductSize
 ,UnitSizeName = s.UnitSizeName
 ,UnitWeightName = s.UnitWeightName
 ,SellStartDate = s.SellStartDate
 ,SellEndDate = s.SellEndDate
 ,DiscountinuedDate = s.DiscountinuedDate</v>
      </c>
      <c r="L38" s="124" t="str" cm="1">
        <f t="array" ref="L38:L49">_xlfn.UNIQUE(_xlfn._xlws.FILTER(A38:A60, (B38:B60=2) + (B38:B60="Fixed")))</f>
        <v>ProductNumber</v>
      </c>
      <c r="M38" s="29" t="str">
        <f t="shared" ref="M38:M43" si="14">_xlfn.XLOOKUP(L38,$A$38:$A$60,$B$38:$B$60,"",0)</f>
        <v>Fixed</v>
      </c>
      <c r="N38" s="30" t="str">
        <f>_xlfn.CONCAT("d.",L38)</f>
        <v>d.ProductNumber</v>
      </c>
      <c r="O38" s="31" t="str">
        <f xml:space="preserve"> IF(M38="Fixed","=","&lt;&gt;")</f>
        <v>=</v>
      </c>
      <c r="P38" s="32" t="str">
        <f>_xlfn.CONCAT("s.",L38)</f>
        <v>s.ProductNumber</v>
      </c>
      <c r="Q38" s="114" t="str">
        <f xml:space="preserve">
IF(AND(M37&lt;&gt;"Fixed", M38="Fixed"),_xlfn.CONCAT("' ",N38, " ", O38, " ", P38),
IF(AND(M37="Fixed", M38="Fixed"),_xlfn.CONCAT("and ", N38, " ", O38, " ", P38),
IF(AND(M37="Fixed", M38=2),_xlfn.CONCAT( "and ( ",N38, " ", O38, " ", P38),
IF(AND(M37=2, M38=2,M39 = 2),_xlfn.CONCAT( "or  ",N38, " ", O38, " ", P38),
IF(AND(M37=2, M38=2,M39 &lt;&gt; 2),_xlfn.CONCAT( "or  ",N38, " ", O38, " ", P38, " ) '")
)))))</f>
        <v>' d.ProductNumber = s.ProductNumber</v>
      </c>
      <c r="R38" s="94" t="s">
        <v>285</v>
      </c>
    </row>
    <row r="39" spans="1:18" ht="14.4" customHeight="1" x14ac:dyDescent="0.3">
      <c r="A39" s="6" t="s">
        <v>3</v>
      </c>
      <c r="B39" s="53" t="s">
        <v>200</v>
      </c>
      <c r="C39" s="56" t="str">
        <f t="shared" ref="C39:C60" si="15">_xlfn.CONCAT(",",A39)</f>
        <v>,ProductID</v>
      </c>
      <c r="D39" s="91" t="str">
        <f t="shared" ref="D39:D60" si="16">_xlfn.CONCAT(",s.",A39)</f>
        <v>,s.ProductID</v>
      </c>
      <c r="E39" s="33" t="str">
        <v>ProductID</v>
      </c>
      <c r="F39" s="34" t="str">
        <f t="shared" ref="F39:F52" si="17">_xlfn.XLOOKUP(E39,$A$38:$A$60,$B$38:$B$60,"",0)</f>
        <v>Fixed</v>
      </c>
      <c r="G39" s="19" t="str">
        <f t="shared" ref="G39:G52" si="18">_xlfn.CONCAT("d.",E39)</f>
        <v>d.ProductID</v>
      </c>
      <c r="H39" s="35" t="str">
        <f t="shared" ref="H39:H52" si="19" xml:space="preserve"> IF(F39="Fixed","=","&lt;&gt;")</f>
        <v>=</v>
      </c>
      <c r="I39" s="36" t="str">
        <f t="shared" ref="I39:I52" si="20">_xlfn.CONCAT("s.",E39)</f>
        <v>s.ProductID</v>
      </c>
      <c r="J39" s="71" t="str">
        <f t="shared" ref="J39:J51" si="21" xml:space="preserve">
IF(AND(F38&lt;&gt;"Fixed", F39="Fixed"),_xlfn.CONCAT("' ",G39, " ", H39, " ", I39),
IF(AND(F38="Fixed", F39="Fixed"),_xlfn.CONCAT("and ", G39, " ", H39, " ", I39),
IF(AND(F38="Fixed", F39=1),_xlfn.CONCAT( "and ( ",G39, " ", H39, " ", I39),
IF(AND(F38=1, F39=1,F40 = 1),_xlfn.CONCAT( "or  ",G39, " ", H39, " ", I39),
IF(AND(F38=1, F39=1,F40 &lt;&gt; 1),_xlfn.CONCAT( "or  ",G39, " ", H39, " ", I39, " ) '")
)))))</f>
        <v>and d.ProductID = s.ProductID</v>
      </c>
      <c r="K39" s="164"/>
      <c r="L39" s="111" t="str">
        <v>ProductID</v>
      </c>
      <c r="M39" s="34" t="str">
        <f t="shared" si="14"/>
        <v>Fixed</v>
      </c>
      <c r="N39" s="19" t="str">
        <f>_xlfn.CONCAT("d.",L39)</f>
        <v>d.ProductID</v>
      </c>
      <c r="O39" s="35" t="str">
        <f t="shared" ref="O39:O49" si="22" xml:space="preserve"> IF(M39="Fixed","=","&lt;&gt;")</f>
        <v>=</v>
      </c>
      <c r="P39" s="36" t="str">
        <f t="shared" ref="P39:P49" si="23">_xlfn.CONCAT("s.",L39)</f>
        <v>s.ProductID</v>
      </c>
      <c r="Q39" s="115" t="str">
        <f t="shared" ref="Q39:Q49" si="24" xml:space="preserve">
IF(AND(M38&lt;&gt;"Fixed", M39="Fixed"),_xlfn.CONCAT("' ",N39, " ", O39, " ", P39),
IF(AND(M38="Fixed", M39="Fixed"),_xlfn.CONCAT("and ", N39, " ", O39, " ", P39),
IF(AND(M38="Fixed", M39=2),_xlfn.CONCAT( "and ( ",N39, " ", O39, " ", P39),
IF(AND(M38=2, M39=2,M40 = 2),_xlfn.CONCAT( "or  ",N39, " ", O39, " ", P39),
IF(AND(M38=2, M39=2,M40 &lt;&gt; 2),_xlfn.CONCAT( "or  ",N39, " ", O39, " ", P39, " ) '")
)))))</f>
        <v>and d.ProductID = s.ProductID</v>
      </c>
      <c r="R39" s="91" t="s">
        <v>217</v>
      </c>
    </row>
    <row r="40" spans="1:18" ht="14.4" customHeight="1" x14ac:dyDescent="0.3">
      <c r="A40" s="6" t="s">
        <v>18</v>
      </c>
      <c r="B40" s="54" t="s">
        <v>200</v>
      </c>
      <c r="C40" s="56" t="str">
        <f t="shared" si="15"/>
        <v>,ProductCategoryID</v>
      </c>
      <c r="D40" s="91" t="str">
        <f t="shared" si="16"/>
        <v>,s.ProductCategoryID</v>
      </c>
      <c r="E40" s="33" t="str">
        <v>ProductCategoryID</v>
      </c>
      <c r="F40" s="34" t="str">
        <f t="shared" si="17"/>
        <v>Fixed</v>
      </c>
      <c r="G40" s="19" t="str">
        <f t="shared" si="18"/>
        <v>d.ProductCategoryID</v>
      </c>
      <c r="H40" s="35" t="str">
        <f t="shared" si="19"/>
        <v>=</v>
      </c>
      <c r="I40" s="36" t="str">
        <f t="shared" si="20"/>
        <v>s.ProductCategoryID</v>
      </c>
      <c r="J40" s="71" t="str">
        <f t="shared" si="21"/>
        <v>and d.ProductCategoryID = s.ProductCategoryID</v>
      </c>
      <c r="K40" s="164"/>
      <c r="L40" s="111" t="str">
        <v>ProductCategoryID</v>
      </c>
      <c r="M40" s="34" t="str">
        <f t="shared" si="14"/>
        <v>Fixed</v>
      </c>
      <c r="N40" s="19" t="str">
        <f>_xlfn.CONCAT("d.",L40)</f>
        <v>d.ProductCategoryID</v>
      </c>
      <c r="O40" s="35" t="str">
        <f t="shared" si="22"/>
        <v>=</v>
      </c>
      <c r="P40" s="36" t="str">
        <f t="shared" si="23"/>
        <v>s.ProductCategoryID</v>
      </c>
      <c r="Q40" s="115" t="str">
        <f xml:space="preserve">
IF(AND(M39&lt;&gt;"Fixed", M40="Fixed"),_xlfn.CONCAT("' ",N40, " ", O40, " ", P40),
IF(AND(M39="Fixed", M40="Fixed"),_xlfn.CONCAT("and ", N40, " ", O40, " ", P40),
IF(AND(M39="Fixed", M40=2),_xlfn.CONCAT( "and ( ",N40, " ", O40, " ", P40),
IF(AND(M39=2, M40=2,M41 = 2),_xlfn.CONCAT( "or  ",N40, " ", O40, " ", P40),
IF(AND(M39=2, M40=2,M41 &lt;&gt; 2),_xlfn.CONCAT( "or  ",N40, " ", O40, " ", P40, " ) '")
)))))</f>
        <v>and d.ProductCategoryID = s.ProductCategoryID</v>
      </c>
      <c r="R40" s="91" t="s">
        <v>253</v>
      </c>
    </row>
    <row r="41" spans="1:18" ht="14.4" customHeight="1" x14ac:dyDescent="0.3">
      <c r="A41" s="6" t="s">
        <v>16</v>
      </c>
      <c r="B41" s="54" t="s">
        <v>200</v>
      </c>
      <c r="C41" s="56" t="str">
        <f t="shared" si="15"/>
        <v>,ProductSubcategoryID</v>
      </c>
      <c r="D41" s="91" t="str">
        <f t="shared" si="16"/>
        <v>,s.ProductSubcategoryID</v>
      </c>
      <c r="E41" s="33" t="str">
        <v>ProductSubcategoryID</v>
      </c>
      <c r="F41" s="34" t="str">
        <f t="shared" si="17"/>
        <v>Fixed</v>
      </c>
      <c r="G41" s="19" t="str">
        <f t="shared" si="18"/>
        <v>d.ProductSubcategoryID</v>
      </c>
      <c r="H41" s="35" t="str">
        <f t="shared" si="19"/>
        <v>=</v>
      </c>
      <c r="I41" s="36" t="str">
        <f t="shared" si="20"/>
        <v>s.ProductSubcategoryID</v>
      </c>
      <c r="J41" s="71" t="str">
        <f t="shared" si="21"/>
        <v>and d.ProductSubcategoryID = s.ProductSubcategoryID</v>
      </c>
      <c r="K41" s="164"/>
      <c r="L41" s="111" t="str">
        <v>ProductSubcategoryID</v>
      </c>
      <c r="M41" s="34" t="str">
        <f t="shared" si="14"/>
        <v>Fixed</v>
      </c>
      <c r="N41" s="19" t="str">
        <f t="shared" ref="N41:N49" si="25">_xlfn.CONCAT("d.",L41)</f>
        <v>d.ProductSubcategoryID</v>
      </c>
      <c r="O41" s="35" t="str">
        <f t="shared" si="22"/>
        <v>=</v>
      </c>
      <c r="P41" s="36" t="str">
        <f t="shared" si="23"/>
        <v>s.ProductSubcategoryID</v>
      </c>
      <c r="Q41" s="115" t="str">
        <f xml:space="preserve">
IF(AND(M40&lt;&gt;"Fixed", M41="Fixed"),_xlfn.CONCAT("' ",N41, " ", O41, " ", P41),
IF(AND(M40="Fixed", M41="Fixed"),_xlfn.CONCAT("and ", N41, " ", O41, " ", P41),
IF(AND(M40="Fixed", M41=2),_xlfn.CONCAT( "and ( ",N41, " ", O41, " ", P41),
IF(AND(M40=2, M41=2,M44 = 2),_xlfn.CONCAT( "or  ",N41, " ", O41, " ", P41),
IF(AND(M40=2, M41=2,M44 &lt;&gt; 2),_xlfn.CONCAT( "or  ",N41, " ", O41, " ", P41, " ) '")
)))))</f>
        <v>and d.ProductSubcategoryID = s.ProductSubcategoryID</v>
      </c>
      <c r="R41" s="91" t="s">
        <v>254</v>
      </c>
    </row>
    <row r="42" spans="1:18" ht="14.4" customHeight="1" x14ac:dyDescent="0.3">
      <c r="A42" s="6" t="s">
        <v>37</v>
      </c>
      <c r="B42" s="54" t="s">
        <v>200</v>
      </c>
      <c r="C42" s="56" t="str">
        <f t="shared" si="15"/>
        <v>,UnitSizeCode</v>
      </c>
      <c r="D42" s="91" t="str">
        <f t="shared" si="16"/>
        <v>,s.UnitSizeCode</v>
      </c>
      <c r="E42" s="33" t="str">
        <v>UnitSizeCode</v>
      </c>
      <c r="F42" s="34" t="str">
        <f t="shared" si="17"/>
        <v>Fixed</v>
      </c>
      <c r="G42" s="19" t="str">
        <f t="shared" si="18"/>
        <v>d.UnitSizeCode</v>
      </c>
      <c r="H42" s="35" t="str">
        <f t="shared" si="19"/>
        <v>=</v>
      </c>
      <c r="I42" s="36" t="str">
        <f t="shared" si="20"/>
        <v>s.UnitSizeCode</v>
      </c>
      <c r="J42" s="71" t="str">
        <f t="shared" si="21"/>
        <v>and d.UnitSizeCode = s.UnitSizeCode</v>
      </c>
      <c r="K42" s="164"/>
      <c r="L42" s="22" t="str">
        <v>UnitSizeCode</v>
      </c>
      <c r="M42" s="34" t="str">
        <f t="shared" si="14"/>
        <v>Fixed</v>
      </c>
      <c r="N42" s="19" t="str">
        <f>_xlfn.CONCAT("d.",L42)</f>
        <v>d.UnitSizeCode</v>
      </c>
      <c r="O42" s="35" t="str">
        <f xml:space="preserve"> IF(M42="Fixed","=","&lt;&gt;")</f>
        <v>=</v>
      </c>
      <c r="P42" s="36" t="str">
        <f>_xlfn.CONCAT("s.",L42)</f>
        <v>s.UnitSizeCode</v>
      </c>
      <c r="Q42" s="115" t="str">
        <f xml:space="preserve">
IF(AND(M41&lt;&gt;"Fixed", M42="Fixed"),_xlfn.CONCAT("' ",N42, " ", O42, " ", P42),
IF(AND(M41="Fixed", M42="Fixed"),_xlfn.CONCAT("and ", N42, " ", O42, " ", P42),
IF(AND(M41="Fixed", M42=2),_xlfn.CONCAT( "and ( ",N42, " ", O42, " ", P42),
IF(AND(M41=2, M42=2,M45 = 2),_xlfn.CONCAT( "or  ",N42, " ", O42, " ", P42),
IF(AND(M41=2, M42=2,M45 &lt;&gt; 2),_xlfn.CONCAT( "or  ",N42, " ", O42, " ", P42, " ) '")
)))))</f>
        <v>and d.UnitSizeCode = s.UnitSizeCode</v>
      </c>
      <c r="R42" s="91" t="s">
        <v>255</v>
      </c>
    </row>
    <row r="43" spans="1:18" ht="14.4" customHeight="1" x14ac:dyDescent="0.3">
      <c r="A43" s="6" t="s">
        <v>23</v>
      </c>
      <c r="B43" s="54" t="s">
        <v>200</v>
      </c>
      <c r="C43" s="56" t="str">
        <f t="shared" si="15"/>
        <v>,UnitWeightCode</v>
      </c>
      <c r="D43" s="91" t="str">
        <f t="shared" si="16"/>
        <v>,s.UnitWeightCode</v>
      </c>
      <c r="E43" s="25" t="str">
        <v>UnitWeightCode</v>
      </c>
      <c r="F43" s="34" t="str">
        <f t="shared" si="17"/>
        <v>Fixed</v>
      </c>
      <c r="G43" s="19" t="str">
        <f t="shared" si="18"/>
        <v>d.UnitWeightCode</v>
      </c>
      <c r="H43" s="35" t="str">
        <f t="shared" si="19"/>
        <v>=</v>
      </c>
      <c r="I43" s="36" t="str">
        <f t="shared" si="20"/>
        <v>s.UnitWeightCode</v>
      </c>
      <c r="J43" s="71" t="str">
        <f t="shared" si="21"/>
        <v>and d.UnitWeightCode = s.UnitWeightCode</v>
      </c>
      <c r="K43" s="164"/>
      <c r="L43" s="22" t="str">
        <v>UnitWeightCode</v>
      </c>
      <c r="M43" s="34" t="str">
        <f t="shared" si="14"/>
        <v>Fixed</v>
      </c>
      <c r="N43" s="19" t="str">
        <f>_xlfn.CONCAT("d.",L43)</f>
        <v>d.UnitWeightCode</v>
      </c>
      <c r="O43" s="35" t="str">
        <f xml:space="preserve"> IF(M43="Fixed","=","&lt;&gt;")</f>
        <v>=</v>
      </c>
      <c r="P43" s="36" t="str">
        <f>_xlfn.CONCAT("s.",L43)</f>
        <v>s.UnitWeightCode</v>
      </c>
      <c r="Q43" s="115" t="str">
        <f xml:space="preserve">
IF(AND(M42&lt;&gt;"Fixed", M43="Fixed"),_xlfn.CONCAT("' ",N43, " ", O43, " ", P43),
IF(AND(M42="Fixed", M43="Fixed"),_xlfn.CONCAT("and ", N43, " ", O43, " ", P43),
IF(AND(M42="Fixed", M43=2),_xlfn.CONCAT( "and ( ",N43, " ", O43, " ", P43),
IF(AND(M42=2, M43=2,M46 = 2),_xlfn.CONCAT( "or  ",N43, " ", O43, " ", P43),
IF(AND(M42=2, M43=2,M46 &lt;&gt; 2),_xlfn.CONCAT( "or  ",N43, " ", O43, " ", P43, " ) '")
)))))</f>
        <v>and d.UnitWeightCode = s.UnitWeightCode</v>
      </c>
      <c r="R43" s="91" t="s">
        <v>256</v>
      </c>
    </row>
    <row r="44" spans="1:18" ht="14.4" customHeight="1" x14ac:dyDescent="0.3">
      <c r="A44" s="6" t="s">
        <v>25</v>
      </c>
      <c r="B44" s="54">
        <v>1</v>
      </c>
      <c r="C44" s="56" t="str">
        <f t="shared" si="15"/>
        <v>,ProductName</v>
      </c>
      <c r="D44" s="91" t="str">
        <f t="shared" si="16"/>
        <v>,s.ProductName</v>
      </c>
      <c r="E44" s="33" t="str">
        <v>ProductName</v>
      </c>
      <c r="F44" s="34">
        <f t="shared" si="17"/>
        <v>1</v>
      </c>
      <c r="G44" s="19" t="str">
        <f t="shared" si="18"/>
        <v>d.ProductName</v>
      </c>
      <c r="H44" s="35" t="str">
        <f t="shared" si="19"/>
        <v>&lt;&gt;</v>
      </c>
      <c r="I44" s="36" t="str">
        <f t="shared" si="20"/>
        <v>s.ProductName</v>
      </c>
      <c r="J44" s="71" t="str">
        <f t="shared" si="21"/>
        <v>and ( d.ProductName &lt;&gt; s.ProductName</v>
      </c>
      <c r="K44" s="164"/>
      <c r="L44" s="111" t="str">
        <v>ProductColor</v>
      </c>
      <c r="M44" s="34">
        <f t="shared" ref="M44:M49" si="26">_xlfn.XLOOKUP(L44,$A$38:$A$60,$B$38:$B$60,"",0)</f>
        <v>2</v>
      </c>
      <c r="N44" s="19" t="str">
        <f t="shared" si="25"/>
        <v>d.ProductColor</v>
      </c>
      <c r="O44" s="35" t="str">
        <f t="shared" si="22"/>
        <v>&lt;&gt;</v>
      </c>
      <c r="P44" s="36" t="str">
        <f t="shared" si="23"/>
        <v>s.ProductColor</v>
      </c>
      <c r="Q44" s="115" t="str">
        <f xml:space="preserve">
IF(AND(M41&lt;&gt;"Fixed", M44="Fixed"),_xlfn.CONCAT("' ",N44, " ", O44, " ", P44),
IF(AND(M41="Fixed", M44="Fixed"),_xlfn.CONCAT("and ", N44, " ", O44, " ", P44),
IF(AND(M41="Fixed", M44=2),_xlfn.CONCAT( "and ( ",N44, " ", O44, " ", P44),
IF(AND(M41=2, M44=2,M45 = 2),_xlfn.CONCAT( "or  ",N44, " ", O44, " ", P44),
IF(AND(M41=2, M44=2,M45 &lt;&gt; 2),_xlfn.CONCAT( "or  ",N44, " ", O44, " ", P44, " ) '")
)))))</f>
        <v>and ( d.ProductColor &lt;&gt; s.ProductColor</v>
      </c>
      <c r="R44" s="91" t="s">
        <v>257</v>
      </c>
    </row>
    <row r="45" spans="1:18" ht="14.4" customHeight="1" x14ac:dyDescent="0.3">
      <c r="A45" s="6" t="s">
        <v>21</v>
      </c>
      <c r="B45" s="54">
        <v>1</v>
      </c>
      <c r="C45" s="56" t="str">
        <f t="shared" si="15"/>
        <v>,ProductCategoryName</v>
      </c>
      <c r="D45" s="91" t="str">
        <f t="shared" si="16"/>
        <v>,s.ProductCategoryName</v>
      </c>
      <c r="E45" s="33" t="str">
        <v>ProductCategoryName</v>
      </c>
      <c r="F45" s="34">
        <f t="shared" si="17"/>
        <v>1</v>
      </c>
      <c r="G45" s="19" t="str">
        <f t="shared" si="18"/>
        <v>d.ProductCategoryName</v>
      </c>
      <c r="H45" s="35" t="str">
        <f t="shared" si="19"/>
        <v>&lt;&gt;</v>
      </c>
      <c r="I45" s="36" t="str">
        <f t="shared" si="20"/>
        <v>s.ProductCategoryName</v>
      </c>
      <c r="J45" s="71" t="str">
        <f t="shared" si="21"/>
        <v>or  d.ProductCategoryName &lt;&gt; s.ProductCategoryName</v>
      </c>
      <c r="K45" s="164"/>
      <c r="L45" s="111" t="str">
        <v>ProductStyle</v>
      </c>
      <c r="M45" s="34">
        <f t="shared" si="26"/>
        <v>2</v>
      </c>
      <c r="N45" s="19" t="str">
        <f t="shared" si="25"/>
        <v>d.ProductStyle</v>
      </c>
      <c r="O45" s="35" t="str">
        <f t="shared" si="22"/>
        <v>&lt;&gt;</v>
      </c>
      <c r="P45" s="36" t="str">
        <f t="shared" si="23"/>
        <v>s.ProductStyle</v>
      </c>
      <c r="Q45" s="115" t="str">
        <f t="shared" si="24"/>
        <v>or  d.ProductStyle &lt;&gt; s.ProductStyle</v>
      </c>
      <c r="R45" s="91" t="s">
        <v>258</v>
      </c>
    </row>
    <row r="46" spans="1:18" ht="14.4" customHeight="1" x14ac:dyDescent="0.3">
      <c r="A46" s="6" t="s">
        <v>31</v>
      </c>
      <c r="B46" s="54">
        <v>1</v>
      </c>
      <c r="C46" s="56" t="str">
        <f t="shared" si="15"/>
        <v>,ProductSubcategoryName</v>
      </c>
      <c r="D46" s="91" t="str">
        <f t="shared" si="16"/>
        <v>,s.ProductSubcategoryName</v>
      </c>
      <c r="E46" s="33" t="str">
        <v>ProductSubcategoryName</v>
      </c>
      <c r="F46" s="34">
        <f t="shared" si="17"/>
        <v>1</v>
      </c>
      <c r="G46" s="19" t="str">
        <f t="shared" si="18"/>
        <v>d.ProductSubcategoryName</v>
      </c>
      <c r="H46" s="35" t="str">
        <f t="shared" si="19"/>
        <v>&lt;&gt;</v>
      </c>
      <c r="I46" s="36" t="str">
        <f t="shared" si="20"/>
        <v>s.ProductSubcategoryName</v>
      </c>
      <c r="J46" s="71" t="str">
        <f t="shared" si="21"/>
        <v>or  d.ProductSubcategoryName &lt;&gt; s.ProductSubcategoryName</v>
      </c>
      <c r="K46" s="164"/>
      <c r="L46" s="111" t="str">
        <v>ProductLine</v>
      </c>
      <c r="M46" s="34">
        <f t="shared" si="26"/>
        <v>2</v>
      </c>
      <c r="N46" s="19" t="str">
        <f t="shared" si="25"/>
        <v>d.ProductLine</v>
      </c>
      <c r="O46" s="35" t="str">
        <f t="shared" si="22"/>
        <v>&lt;&gt;</v>
      </c>
      <c r="P46" s="36" t="str">
        <f t="shared" si="23"/>
        <v>s.ProductLine</v>
      </c>
      <c r="Q46" s="115" t="str">
        <f t="shared" si="24"/>
        <v>or  d.ProductLine &lt;&gt; s.ProductLine</v>
      </c>
      <c r="R46" s="91" t="s">
        <v>259</v>
      </c>
    </row>
    <row r="47" spans="1:18" ht="14.4" customHeight="1" x14ac:dyDescent="0.3">
      <c r="A47" s="6" t="s">
        <v>32</v>
      </c>
      <c r="B47" s="54">
        <v>2</v>
      </c>
      <c r="C47" s="56" t="str">
        <f t="shared" si="15"/>
        <v>,ProductColor</v>
      </c>
      <c r="D47" s="91" t="str">
        <f t="shared" si="16"/>
        <v>,s.ProductColor</v>
      </c>
      <c r="E47" s="33" t="str">
        <v>ProductSize</v>
      </c>
      <c r="F47" s="34">
        <f t="shared" si="17"/>
        <v>1</v>
      </c>
      <c r="G47" s="19" t="str">
        <f t="shared" si="18"/>
        <v>d.ProductSize</v>
      </c>
      <c r="H47" s="35" t="str">
        <f t="shared" si="19"/>
        <v>&lt;&gt;</v>
      </c>
      <c r="I47" s="36" t="str">
        <f t="shared" si="20"/>
        <v>s.ProductSize</v>
      </c>
      <c r="J47" s="71" t="str">
        <f t="shared" si="21"/>
        <v>or  d.ProductSize &lt;&gt; s.ProductSize</v>
      </c>
      <c r="K47" s="164"/>
      <c r="L47" s="111" t="str">
        <v xml:space="preserve">StandardCost </v>
      </c>
      <c r="M47" s="34">
        <f t="shared" si="26"/>
        <v>2</v>
      </c>
      <c r="N47" s="19" t="str">
        <f t="shared" si="25"/>
        <v xml:space="preserve">d.StandardCost </v>
      </c>
      <c r="O47" s="35" t="str">
        <f t="shared" si="22"/>
        <v>&lt;&gt;</v>
      </c>
      <c r="P47" s="36" t="str">
        <f t="shared" si="23"/>
        <v xml:space="preserve">s.StandardCost </v>
      </c>
      <c r="Q47" s="115" t="str">
        <f t="shared" si="24"/>
        <v xml:space="preserve">or  d.StandardCost  &lt;&gt; s.StandardCost </v>
      </c>
      <c r="R47" s="91" t="s">
        <v>222</v>
      </c>
    </row>
    <row r="48" spans="1:18" ht="14.4" customHeight="1" x14ac:dyDescent="0.3">
      <c r="A48" s="6" t="s">
        <v>33</v>
      </c>
      <c r="B48" s="54">
        <v>2</v>
      </c>
      <c r="C48" s="56" t="str">
        <f t="shared" si="15"/>
        <v>,ProductStyle</v>
      </c>
      <c r="D48" s="91" t="str">
        <f t="shared" si="16"/>
        <v>,s.ProductStyle</v>
      </c>
      <c r="E48" s="33" t="str">
        <v>UnitSizeName</v>
      </c>
      <c r="F48" s="34">
        <f t="shared" si="17"/>
        <v>1</v>
      </c>
      <c r="G48" s="19" t="str">
        <f t="shared" si="18"/>
        <v>d.UnitSizeName</v>
      </c>
      <c r="H48" s="35" t="str">
        <f t="shared" si="19"/>
        <v>&lt;&gt;</v>
      </c>
      <c r="I48" s="36" t="str">
        <f t="shared" si="20"/>
        <v>s.UnitSizeName</v>
      </c>
      <c r="J48" s="71" t="str">
        <f t="shared" si="21"/>
        <v>or  d.UnitSizeName &lt;&gt; s.UnitSizeName</v>
      </c>
      <c r="K48" s="164"/>
      <c r="L48" s="111" t="str">
        <v>ListPrice</v>
      </c>
      <c r="M48" s="34">
        <f t="shared" si="26"/>
        <v>2</v>
      </c>
      <c r="N48" s="19" t="str">
        <f t="shared" si="25"/>
        <v>d.ListPrice</v>
      </c>
      <c r="O48" s="35" t="str">
        <f t="shared" si="22"/>
        <v>&lt;&gt;</v>
      </c>
      <c r="P48" s="36" t="str">
        <f t="shared" si="23"/>
        <v>s.ListPrice</v>
      </c>
      <c r="Q48" s="115" t="str">
        <f t="shared" si="24"/>
        <v>or  d.ListPrice &lt;&gt; s.ListPrice</v>
      </c>
      <c r="R48" s="91" t="s">
        <v>223</v>
      </c>
    </row>
    <row r="49" spans="1:18" ht="14.4" customHeight="1" thickBot="1" x14ac:dyDescent="0.35">
      <c r="A49" s="6" t="s">
        <v>10</v>
      </c>
      <c r="B49" s="54">
        <v>2</v>
      </c>
      <c r="C49" s="56" t="str">
        <f t="shared" si="15"/>
        <v>,ProductLine</v>
      </c>
      <c r="D49" s="91" t="str">
        <f t="shared" si="16"/>
        <v>,s.ProductLine</v>
      </c>
      <c r="E49" s="33" t="str">
        <v>UnitWeightName</v>
      </c>
      <c r="F49" s="34">
        <f t="shared" si="17"/>
        <v>1</v>
      </c>
      <c r="G49" s="19" t="str">
        <f t="shared" si="18"/>
        <v>d.UnitWeightName</v>
      </c>
      <c r="H49" s="35" t="str">
        <f t="shared" si="19"/>
        <v>&lt;&gt;</v>
      </c>
      <c r="I49" s="36" t="str">
        <f t="shared" si="20"/>
        <v>s.UnitWeightName</v>
      </c>
      <c r="J49" s="71" t="str">
        <f t="shared" si="21"/>
        <v>or  d.UnitWeightName &lt;&gt; s.UnitWeightName</v>
      </c>
      <c r="K49" s="164"/>
      <c r="L49" s="37" t="str">
        <v>ProductWeight</v>
      </c>
      <c r="M49" s="42">
        <f t="shared" si="26"/>
        <v>2</v>
      </c>
      <c r="N49" s="39" t="str">
        <f t="shared" si="25"/>
        <v>d.ProductWeight</v>
      </c>
      <c r="O49" s="40" t="str">
        <f t="shared" si="22"/>
        <v>&lt;&gt;</v>
      </c>
      <c r="P49" s="41" t="str">
        <f t="shared" si="23"/>
        <v>s.ProductWeight</v>
      </c>
      <c r="Q49" s="73" t="str">
        <f t="shared" si="24"/>
        <v>or  d.ProductWeight &lt;&gt; s.ProductWeight ) '</v>
      </c>
      <c r="R49" s="91" t="s">
        <v>224</v>
      </c>
    </row>
    <row r="50" spans="1:18" ht="14.4" customHeight="1" x14ac:dyDescent="0.3">
      <c r="A50" s="6" t="s">
        <v>34</v>
      </c>
      <c r="B50" s="54">
        <v>2</v>
      </c>
      <c r="C50" s="56" t="str">
        <f t="shared" si="15"/>
        <v xml:space="preserve">,StandardCost </v>
      </c>
      <c r="D50" s="91" t="str">
        <f t="shared" si="16"/>
        <v xml:space="preserve">,s.StandardCost </v>
      </c>
      <c r="E50" s="33" t="str">
        <v>SellStartDate</v>
      </c>
      <c r="F50" s="34">
        <f t="shared" si="17"/>
        <v>1</v>
      </c>
      <c r="G50" s="19" t="str">
        <f t="shared" si="18"/>
        <v>d.SellStartDate</v>
      </c>
      <c r="H50" s="35" t="str">
        <f t="shared" si="19"/>
        <v>&lt;&gt;</v>
      </c>
      <c r="I50" s="36" t="str">
        <f t="shared" si="20"/>
        <v>s.SellStartDate</v>
      </c>
      <c r="J50" s="71" t="str">
        <f t="shared" si="21"/>
        <v>or  d.SellStartDate &lt;&gt; s.SellStartDate</v>
      </c>
      <c r="K50" s="164"/>
      <c r="L50" s="22"/>
      <c r="M50" s="22"/>
      <c r="N50" s="22"/>
      <c r="O50" s="22"/>
      <c r="P50" s="22"/>
      <c r="Q50" s="127"/>
      <c r="R50" s="91" t="s">
        <v>260</v>
      </c>
    </row>
    <row r="51" spans="1:18" ht="14.4" customHeight="1" x14ac:dyDescent="0.3">
      <c r="A51" s="6" t="s">
        <v>7</v>
      </c>
      <c r="B51" s="54">
        <v>2</v>
      </c>
      <c r="C51" s="56" t="str">
        <f t="shared" si="15"/>
        <v>,ListPrice</v>
      </c>
      <c r="D51" s="91" t="str">
        <f t="shared" si="16"/>
        <v>,s.ListPrice</v>
      </c>
      <c r="E51" s="33" t="str">
        <v>SellEndDate</v>
      </c>
      <c r="F51" s="34">
        <f t="shared" si="17"/>
        <v>1</v>
      </c>
      <c r="G51" s="19" t="str">
        <f t="shared" si="18"/>
        <v>d.SellEndDate</v>
      </c>
      <c r="H51" s="35" t="str">
        <f t="shared" si="19"/>
        <v>&lt;&gt;</v>
      </c>
      <c r="I51" s="36" t="str">
        <f t="shared" si="20"/>
        <v>s.SellEndDate</v>
      </c>
      <c r="J51" s="71" t="str">
        <f t="shared" si="21"/>
        <v>or  d.SellEndDate &lt;&gt; s.SellEndDate</v>
      </c>
      <c r="K51" s="164"/>
      <c r="L51" s="22"/>
      <c r="M51" s="22"/>
      <c r="N51" s="22"/>
      <c r="O51" s="22"/>
      <c r="P51" s="22"/>
      <c r="Q51" s="127"/>
      <c r="R51" s="91" t="s">
        <v>261</v>
      </c>
    </row>
    <row r="52" spans="1:18" ht="14.4" customHeight="1" thickBot="1" x14ac:dyDescent="0.35">
      <c r="A52" s="6" t="s">
        <v>35</v>
      </c>
      <c r="B52" s="54">
        <v>1</v>
      </c>
      <c r="C52" s="56" t="str">
        <f t="shared" si="15"/>
        <v>,ProductSize</v>
      </c>
      <c r="D52" s="91" t="str">
        <f t="shared" si="16"/>
        <v>,s.ProductSize</v>
      </c>
      <c r="E52" s="37" t="str">
        <v>DiscountinuedDate</v>
      </c>
      <c r="F52" s="42">
        <f t="shared" si="17"/>
        <v>1</v>
      </c>
      <c r="G52" s="39" t="str">
        <f t="shared" si="18"/>
        <v>d.DiscountinuedDate</v>
      </c>
      <c r="H52" s="40" t="str">
        <f t="shared" si="19"/>
        <v>&lt;&gt;</v>
      </c>
      <c r="I52" s="41" t="str">
        <f t="shared" si="20"/>
        <v>s.DiscountinuedDate</v>
      </c>
      <c r="J52" s="73" t="str">
        <f xml:space="preserve">
IF(AND(F51&lt;&gt;"Fixed", F52="Fixed"),_xlfn.CONCAT("' ",G52, " ", H52, " ", I52),
IF(AND(F51="Fixed", F52="Fixed"),_xlfn.CONCAT("and ", G52, " ", H52, " ", I52),
IF(AND(F51="Fixed", F52=1),_xlfn.CONCAT( "and ( ",G52, " ", H52, " ", I52),
IF(AND(F51=1, F52=1,E53 = 1),_xlfn.CONCAT( "or  ",G52, " ", H52, " ", I52),
IF(AND(F51=1, F52=1,E53 &lt;&gt; 1),_xlfn.CONCAT( "or  ",G52, " ", H52, " ", I52, " ) '")
)))))</f>
        <v>or  d.DiscountinuedDate &lt;&gt; s.DiscountinuedDate ) '</v>
      </c>
      <c r="K52" s="165"/>
      <c r="L52" s="22"/>
      <c r="M52" s="22"/>
      <c r="N52" s="22"/>
      <c r="O52" s="22"/>
      <c r="P52" s="22"/>
      <c r="Q52" s="127"/>
      <c r="R52" s="91" t="s">
        <v>225</v>
      </c>
    </row>
    <row r="53" spans="1:18" ht="14.4" customHeight="1" x14ac:dyDescent="0.3">
      <c r="A53" s="6" t="s">
        <v>22</v>
      </c>
      <c r="B53" s="54">
        <v>1</v>
      </c>
      <c r="C53" s="56" t="str">
        <f t="shared" si="15"/>
        <v>,UnitSizeName</v>
      </c>
      <c r="D53" s="91" t="str">
        <f t="shared" si="16"/>
        <v>,s.UnitSizeName</v>
      </c>
      <c r="E53" s="25"/>
      <c r="F53" s="14"/>
      <c r="G53" s="14"/>
      <c r="H53" s="14"/>
      <c r="I53" s="14"/>
      <c r="J53" s="14"/>
      <c r="K53" s="126"/>
      <c r="L53" s="22"/>
      <c r="M53" s="22"/>
      <c r="N53" s="22"/>
      <c r="O53" s="22"/>
      <c r="P53" s="22"/>
      <c r="Q53" s="127"/>
      <c r="R53" s="91" t="s">
        <v>262</v>
      </c>
    </row>
    <row r="54" spans="1:18" ht="14.4" customHeight="1" x14ac:dyDescent="0.3">
      <c r="A54" s="6" t="s">
        <v>38</v>
      </c>
      <c r="B54" s="54">
        <v>2</v>
      </c>
      <c r="C54" s="56" t="str">
        <f t="shared" si="15"/>
        <v>,ProductWeight</v>
      </c>
      <c r="D54" s="91" t="str">
        <f t="shared" si="16"/>
        <v>,s.ProductWeight</v>
      </c>
      <c r="E54" s="25"/>
      <c r="F54" s="14"/>
      <c r="G54" s="14"/>
      <c r="H54" s="14"/>
      <c r="I54" s="14"/>
      <c r="J54" s="14"/>
      <c r="K54" s="126"/>
      <c r="L54" s="22"/>
      <c r="M54" s="22"/>
      <c r="N54" s="22"/>
      <c r="O54" s="22"/>
      <c r="P54" s="22"/>
      <c r="Q54" s="127"/>
      <c r="R54" s="91" t="s">
        <v>226</v>
      </c>
    </row>
    <row r="55" spans="1:18" ht="14.4" customHeight="1" x14ac:dyDescent="0.3">
      <c r="A55" s="6" t="s">
        <v>24</v>
      </c>
      <c r="B55" s="54">
        <v>1</v>
      </c>
      <c r="C55" s="56" t="str">
        <f t="shared" si="15"/>
        <v>,UnitWeightName</v>
      </c>
      <c r="D55" s="91" t="str">
        <f t="shared" si="16"/>
        <v>,s.UnitWeightName</v>
      </c>
      <c r="E55" s="25"/>
      <c r="F55" s="14"/>
      <c r="G55" s="14"/>
      <c r="H55" s="14"/>
      <c r="I55" s="14"/>
      <c r="J55" s="14"/>
      <c r="K55" s="126"/>
      <c r="L55" s="126"/>
      <c r="M55" s="22"/>
      <c r="N55" s="22"/>
      <c r="O55" s="22"/>
      <c r="P55" s="22"/>
      <c r="Q55" s="22"/>
      <c r="R55" s="91" t="s">
        <v>263</v>
      </c>
    </row>
    <row r="56" spans="1:18" ht="14.4" customHeight="1" x14ac:dyDescent="0.3">
      <c r="A56" s="6" t="s">
        <v>12</v>
      </c>
      <c r="B56" s="54">
        <v>1</v>
      </c>
      <c r="C56" s="56" t="str">
        <f t="shared" si="15"/>
        <v>,SellStartDate</v>
      </c>
      <c r="D56" s="91" t="str">
        <f t="shared" si="16"/>
        <v>,s.SellStartDate</v>
      </c>
      <c r="E56" s="25"/>
      <c r="F56" s="14"/>
      <c r="G56" s="14"/>
      <c r="H56" s="14"/>
      <c r="I56" s="14"/>
      <c r="J56" s="14"/>
      <c r="K56" s="126"/>
      <c r="L56" s="126"/>
      <c r="M56" s="22"/>
      <c r="N56" s="22"/>
      <c r="O56" s="22"/>
      <c r="P56" s="22"/>
      <c r="Q56" s="22"/>
      <c r="R56" s="91" t="s">
        <v>264</v>
      </c>
    </row>
    <row r="57" spans="1:18" ht="14.4" customHeight="1" x14ac:dyDescent="0.3">
      <c r="A57" s="6" t="s">
        <v>13</v>
      </c>
      <c r="B57" s="54">
        <v>1</v>
      </c>
      <c r="C57" s="56" t="str">
        <f t="shared" si="15"/>
        <v>,SellEndDate</v>
      </c>
      <c r="D57" s="91" t="str">
        <f t="shared" si="16"/>
        <v>,s.SellEndDate</v>
      </c>
      <c r="E57" s="25"/>
      <c r="F57" s="14"/>
      <c r="G57" s="14"/>
      <c r="H57" s="14"/>
      <c r="I57" s="14"/>
      <c r="J57" s="14"/>
      <c r="K57" s="126"/>
      <c r="L57" s="126"/>
      <c r="M57" s="22"/>
      <c r="N57" s="22"/>
      <c r="O57" s="22"/>
      <c r="P57" s="22"/>
      <c r="Q57" s="22"/>
      <c r="R57" s="91" t="s">
        <v>227</v>
      </c>
    </row>
    <row r="58" spans="1:18" ht="14.4" customHeight="1" x14ac:dyDescent="0.3">
      <c r="A58" s="6" t="s">
        <v>40</v>
      </c>
      <c r="B58" s="54">
        <v>1</v>
      </c>
      <c r="C58" s="56" t="str">
        <f t="shared" si="15"/>
        <v>,DiscountinuedDate</v>
      </c>
      <c r="D58" s="91" t="str">
        <f t="shared" si="16"/>
        <v>,s.DiscountinuedDate</v>
      </c>
      <c r="E58" s="25"/>
      <c r="F58" s="14"/>
      <c r="G58" s="14"/>
      <c r="H58" s="14"/>
      <c r="I58" s="14"/>
      <c r="J58" s="14"/>
      <c r="K58" s="14"/>
      <c r="L58" s="22"/>
      <c r="M58" s="22"/>
      <c r="N58" s="22"/>
      <c r="O58" s="22"/>
      <c r="P58" s="22"/>
      <c r="Q58" s="22"/>
      <c r="R58" s="91" t="s">
        <v>228</v>
      </c>
    </row>
    <row r="59" spans="1:18" ht="14.4" customHeight="1" x14ac:dyDescent="0.3">
      <c r="A59" s="6" t="s">
        <v>197</v>
      </c>
      <c r="B59" s="54"/>
      <c r="C59" s="56" t="str">
        <f t="shared" si="15"/>
        <v>,ValidityDate_Start</v>
      </c>
      <c r="D59" s="91" t="str">
        <f t="shared" si="16"/>
        <v>,s.ValidityDate_Start</v>
      </c>
      <c r="E59" s="25"/>
      <c r="F59" s="14"/>
      <c r="G59" s="14"/>
      <c r="H59" s="14"/>
      <c r="I59" s="14"/>
      <c r="J59" s="14"/>
      <c r="K59" s="14"/>
      <c r="R59" s="91" t="s">
        <v>214</v>
      </c>
    </row>
    <row r="60" spans="1:18" ht="14.4" customHeight="1" thickBot="1" x14ac:dyDescent="0.35">
      <c r="A60" s="106" t="s">
        <v>198</v>
      </c>
      <c r="B60" s="107"/>
      <c r="C60" s="101" t="str">
        <f t="shared" si="15"/>
        <v>,ValidityDate_End</v>
      </c>
      <c r="D60" s="92" t="str">
        <f t="shared" si="16"/>
        <v>,s.ValidityDate_End</v>
      </c>
      <c r="E60" s="26"/>
      <c r="F60" s="27"/>
      <c r="G60" s="27"/>
      <c r="H60" s="27"/>
      <c r="I60" s="27"/>
      <c r="J60" s="27"/>
      <c r="K60" s="14"/>
      <c r="R60" s="92" t="s">
        <v>215</v>
      </c>
    </row>
    <row r="61" spans="1:18" ht="14.4" customHeight="1" thickBot="1" x14ac:dyDescent="0.35">
      <c r="A61" s="104" t="s">
        <v>113</v>
      </c>
      <c r="B61" s="105"/>
      <c r="C61" s="104" t="s">
        <v>113</v>
      </c>
      <c r="D61" s="105"/>
      <c r="E61" s="15" t="s">
        <v>113</v>
      </c>
      <c r="F61" s="16"/>
      <c r="G61" s="18"/>
      <c r="H61" s="18"/>
      <c r="I61" s="18"/>
      <c r="J61" s="17"/>
      <c r="K61" s="16"/>
      <c r="L61" s="15" t="s">
        <v>113</v>
      </c>
      <c r="M61" s="16"/>
      <c r="N61" s="16"/>
      <c r="O61" s="16"/>
      <c r="P61" s="16"/>
      <c r="Q61" s="16"/>
      <c r="R61" s="118" t="s">
        <v>113</v>
      </c>
    </row>
    <row r="62" spans="1:18" ht="14.4" customHeight="1" x14ac:dyDescent="0.3">
      <c r="A62" s="6" t="s">
        <v>51</v>
      </c>
      <c r="B62" s="52" t="s">
        <v>200</v>
      </c>
      <c r="C62" s="55" t="str">
        <f>A62</f>
        <v>SalesPersonID</v>
      </c>
      <c r="D62" s="91" t="str">
        <f>_xlfn.CONCAT("s.",A62)</f>
        <v>s.SalesPersonID</v>
      </c>
      <c r="E62" s="28" t="str" cm="1">
        <f t="array" ref="E62:E67">_xlfn.UNIQUE(_xlfn._xlws.FILTER(A62:A75, (B62:B75=1) + (B62:B75="Fixed")))</f>
        <v>SalesPersonID</v>
      </c>
      <c r="F62" s="29" t="str">
        <f t="shared" ref="F62:F67" si="27">_xlfn.XLOOKUP(E62,$A$62:$A$75,$B$62:$B$75,"",0)</f>
        <v>Fixed</v>
      </c>
      <c r="G62" s="30" t="str">
        <f t="shared" ref="G62:G67" si="28">_xlfn.CONCAT("d.",E62)</f>
        <v>d.SalesPersonID</v>
      </c>
      <c r="H62" s="31" t="str">
        <f t="shared" ref="H62:H67" si="29" xml:space="preserve"> IF(F62="Fixed","=","&lt;&gt;")</f>
        <v>=</v>
      </c>
      <c r="I62" s="32" t="str">
        <f t="shared" ref="I62:I67" si="30">_xlfn.CONCAT("s.",E62)</f>
        <v>s.SalesPersonID</v>
      </c>
      <c r="J62" s="70" t="str">
        <f t="shared" ref="J62:J67" si="31" xml:space="preserve">
IF(AND(F61&lt;&gt;"Fixed", F62="Fixed"),_xlfn.CONCAT("' ",G62, " ", H62, " ", I62),
IF(AND(F61="Fixed", F62="Fixed"),_xlfn.CONCAT("and ", G62, " ", H62, " ", I62),
IF(AND(F61="Fixed", F62=1),_xlfn.CONCAT( "and ( ",G62, " ", H62, " ", I62),
IF(AND(F61=1, F62=1,F63 = 1),_xlfn.CONCAT( "or  ",G62, " ", H62, " ", I62),
IF(AND(F61=1, F62=1,F63 &lt;&gt; 1),_xlfn.CONCAT( "or  ",G62, " ", H62, " ", I62, " ) '")
)))))</f>
        <v>' d.SalesPersonID = s.SalesPersonID</v>
      </c>
      <c r="K62" s="163" t="str" cm="1">
        <f t="array" ref="K62">_xlfn.TEXTJOIN(_xlfn.CONCAT(CHAR(10)," ,"), FALSE,_xlfn.ANCHORARRAY( E62) &amp; " = " &amp; I62:I67)</f>
        <v>SalesPersonID = s.SalesPersonID
 ,PersonType = s.PersonType
 ,Title = s.Title
 ,OrganizationLevel = s.OrganizationLevel
 ,JobTitle = s.JobTitle
 ,TerritoryID = s.TerritoryID</v>
      </c>
      <c r="L62" s="28" t="str" cm="1">
        <f t="array" ref="L62:L69">_xlfn.UNIQUE(_xlfn._xlws.FILTER(A62:A75, (B62:B75=2) + (B62:B75="Fixed")))</f>
        <v>SalesPersonID</v>
      </c>
      <c r="M62" s="29" t="str">
        <f>_xlfn.XLOOKUP(L62,$A$62:$A$75,$B$62:$B$75,"",0)</f>
        <v>Fixed</v>
      </c>
      <c r="N62" s="30" t="str">
        <f>_xlfn.CONCAT("d.",L62)</f>
        <v>d.SalesPersonID</v>
      </c>
      <c r="O62" s="31" t="str">
        <f xml:space="preserve"> IF(M62="Fixed","=","&lt;&gt;")</f>
        <v>=</v>
      </c>
      <c r="P62" s="32" t="str">
        <f>_xlfn.CONCAT("s.",L62)</f>
        <v>s.SalesPersonID</v>
      </c>
      <c r="Q62" s="114" t="str">
        <f xml:space="preserve">
IF(AND(M61&lt;&gt;"Fixed", M62="Fixed"),_xlfn.CONCAT("' ",N62, " ", O62, " ", P62),
IF(AND(M61="Fixed", M62="Fixed"),_xlfn.CONCAT("and ", N62, " ", O62, " ", P62),
IF(AND(M61="Fixed", M62=2),_xlfn.CONCAT( "and ( ",N62, " ", O62, " ", P62),
IF(AND(M61=2, M62=2,M63 = 2),_xlfn.CONCAT( "or  ",N62, " ", O62, " ", P62),
IF(AND(M61=2, M62=2,M63 &lt;&gt; 2),_xlfn.CONCAT( "or  ",N62, " ", O62, " ", P62, " ) '")
)))))</f>
        <v>' d.SalesPersonID = s.SalesPersonID</v>
      </c>
      <c r="R62" s="94" t="s">
        <v>229</v>
      </c>
    </row>
    <row r="63" spans="1:18" ht="14.4" customHeight="1" x14ac:dyDescent="0.3">
      <c r="A63" s="6" t="s">
        <v>53</v>
      </c>
      <c r="B63" s="53" t="s">
        <v>200</v>
      </c>
      <c r="C63" s="56" t="str">
        <f t="shared" ref="C63:C75" si="32">_xlfn.CONCAT(",",A63)</f>
        <v>,PersonType</v>
      </c>
      <c r="D63" s="91" t="str">
        <f t="shared" ref="D63:D75" si="33">_xlfn.CONCAT(",s.",A63)</f>
        <v>,s.PersonType</v>
      </c>
      <c r="E63" s="33" t="str">
        <v>PersonType</v>
      </c>
      <c r="F63" s="34" t="str">
        <f t="shared" si="27"/>
        <v>Fixed</v>
      </c>
      <c r="G63" s="19" t="str">
        <f t="shared" si="28"/>
        <v>d.PersonType</v>
      </c>
      <c r="H63" s="35" t="str">
        <f t="shared" si="29"/>
        <v>=</v>
      </c>
      <c r="I63" s="36" t="str">
        <f t="shared" si="30"/>
        <v>s.PersonType</v>
      </c>
      <c r="J63" s="71" t="str">
        <f t="shared" si="31"/>
        <v>and d.PersonType = s.PersonType</v>
      </c>
      <c r="K63" s="164"/>
      <c r="L63" s="33" t="str">
        <v>PersonType</v>
      </c>
      <c r="M63" s="34" t="str">
        <f t="shared" ref="M63:M69" si="34">_xlfn.XLOOKUP(L63,$A$62:$A$75,$B$62:$B$75,"",0)</f>
        <v>Fixed</v>
      </c>
      <c r="N63" s="19" t="str">
        <f t="shared" ref="N63:N69" si="35">_xlfn.CONCAT("d.",L63)</f>
        <v>d.PersonType</v>
      </c>
      <c r="O63" s="35" t="str">
        <f t="shared" ref="O63:O69" si="36" xml:space="preserve"> IF(M63="Fixed","=","&lt;&gt;")</f>
        <v>=</v>
      </c>
      <c r="P63" s="36" t="str">
        <f t="shared" ref="P63:P69" si="37">_xlfn.CONCAT("s.",L63)</f>
        <v>s.PersonType</v>
      </c>
      <c r="Q63" s="115" t="str">
        <f t="shared" ref="Q63:Q69" si="38" xml:space="preserve">
IF(AND(M62&lt;&gt;"Fixed", M63="Fixed"),_xlfn.CONCAT("' ",N63, " ", O63, " ", P63),
IF(AND(M62="Fixed", M63="Fixed"),_xlfn.CONCAT("and ", N63, " ", O63, " ", P63),
IF(AND(M62="Fixed", M63=2),_xlfn.CONCAT( "and ( ",N63, " ", O63, " ", P63),
IF(AND(M62=2, M63=2,M64 = 2),_xlfn.CONCAT( "or  ",N63, " ", O63, " ", P63),
IF(AND(M62=2, M63=2,M64 &lt;&gt; 2),_xlfn.CONCAT( "or  ",N63, " ", O63, " ", P63, " ) '")
)))))</f>
        <v>and d.PersonType = s.PersonType</v>
      </c>
      <c r="R63" s="91" t="s">
        <v>248</v>
      </c>
    </row>
    <row r="64" spans="1:18" ht="14.4" customHeight="1" x14ac:dyDescent="0.3">
      <c r="A64" s="6" t="s">
        <v>55</v>
      </c>
      <c r="B64" s="54">
        <v>1</v>
      </c>
      <c r="C64" s="56" t="str">
        <f t="shared" si="32"/>
        <v>,Title</v>
      </c>
      <c r="D64" s="91" t="str">
        <f t="shared" si="33"/>
        <v>,s.Title</v>
      </c>
      <c r="E64" s="33" t="str">
        <v>Title</v>
      </c>
      <c r="F64" s="34">
        <f t="shared" si="27"/>
        <v>1</v>
      </c>
      <c r="G64" s="19" t="str">
        <f t="shared" si="28"/>
        <v>d.Title</v>
      </c>
      <c r="H64" s="35" t="str">
        <f t="shared" si="29"/>
        <v>&lt;&gt;</v>
      </c>
      <c r="I64" s="36" t="str">
        <f t="shared" si="30"/>
        <v>s.Title</v>
      </c>
      <c r="J64" s="71" t="str">
        <f t="shared" si="31"/>
        <v>and ( d.Title &lt;&gt; s.Title</v>
      </c>
      <c r="K64" s="164"/>
      <c r="L64" s="33" t="str">
        <v>FirstName</v>
      </c>
      <c r="M64" s="34">
        <f t="shared" si="34"/>
        <v>2</v>
      </c>
      <c r="N64" s="19" t="str">
        <f t="shared" si="35"/>
        <v>d.FirstName</v>
      </c>
      <c r="O64" s="35" t="str">
        <f t="shared" si="36"/>
        <v>&lt;&gt;</v>
      </c>
      <c r="P64" s="36" t="str">
        <f t="shared" si="37"/>
        <v>s.FirstName</v>
      </c>
      <c r="Q64" s="115" t="str">
        <f t="shared" si="38"/>
        <v>and ( d.FirstName &lt;&gt; s.FirstName</v>
      </c>
      <c r="R64" s="91" t="s">
        <v>212</v>
      </c>
    </row>
    <row r="65" spans="1:18" ht="14.4" customHeight="1" x14ac:dyDescent="0.3">
      <c r="A65" s="6" t="s">
        <v>56</v>
      </c>
      <c r="B65" s="54">
        <v>2</v>
      </c>
      <c r="C65" s="56" t="str">
        <f t="shared" si="32"/>
        <v>,FirstName</v>
      </c>
      <c r="D65" s="91" t="str">
        <f t="shared" si="33"/>
        <v>,s.FirstName</v>
      </c>
      <c r="E65" s="33" t="str">
        <v>OrganizationLevel</v>
      </c>
      <c r="F65" s="34">
        <f t="shared" si="27"/>
        <v>1</v>
      </c>
      <c r="G65" s="19" t="str">
        <f t="shared" si="28"/>
        <v>d.OrganizationLevel</v>
      </c>
      <c r="H65" s="35" t="str">
        <f t="shared" si="29"/>
        <v>&lt;&gt;</v>
      </c>
      <c r="I65" s="36" t="str">
        <f t="shared" si="30"/>
        <v>s.OrganizationLevel</v>
      </c>
      <c r="J65" s="71" t="str">
        <f t="shared" si="31"/>
        <v>or  d.OrganizationLevel &lt;&gt; s.OrganizationLevel</v>
      </c>
      <c r="K65" s="164"/>
      <c r="L65" s="33" t="str">
        <v>MiddleName</v>
      </c>
      <c r="M65" s="34">
        <f t="shared" si="34"/>
        <v>2</v>
      </c>
      <c r="N65" s="19" t="str">
        <f t="shared" si="35"/>
        <v>d.MiddleName</v>
      </c>
      <c r="O65" s="35" t="str">
        <f t="shared" si="36"/>
        <v>&lt;&gt;</v>
      </c>
      <c r="P65" s="36" t="str">
        <f t="shared" si="37"/>
        <v>s.MiddleName</v>
      </c>
      <c r="Q65" s="115" t="str">
        <f t="shared" si="38"/>
        <v>or  d.MiddleName &lt;&gt; s.MiddleName</v>
      </c>
      <c r="R65" s="91" t="s">
        <v>249</v>
      </c>
    </row>
    <row r="66" spans="1:18" ht="14.4" customHeight="1" x14ac:dyDescent="0.3">
      <c r="A66" s="6" t="s">
        <v>57</v>
      </c>
      <c r="B66" s="54">
        <v>2</v>
      </c>
      <c r="C66" s="56" t="str">
        <f t="shared" si="32"/>
        <v>,MiddleName</v>
      </c>
      <c r="D66" s="91" t="str">
        <f t="shared" si="33"/>
        <v>,s.MiddleName</v>
      </c>
      <c r="E66" s="33" t="str">
        <v>JobTitle</v>
      </c>
      <c r="F66" s="34">
        <f t="shared" si="27"/>
        <v>1</v>
      </c>
      <c r="G66" s="19" t="str">
        <f t="shared" si="28"/>
        <v>d.JobTitle</v>
      </c>
      <c r="H66" s="35" t="str">
        <f t="shared" si="29"/>
        <v>&lt;&gt;</v>
      </c>
      <c r="I66" s="36" t="str">
        <f t="shared" si="30"/>
        <v>s.JobTitle</v>
      </c>
      <c r="J66" s="71" t="str">
        <f t="shared" si="31"/>
        <v>or  d.JobTitle &lt;&gt; s.JobTitle</v>
      </c>
      <c r="K66" s="164"/>
      <c r="L66" s="33" t="str">
        <v>LastName</v>
      </c>
      <c r="M66" s="34">
        <f t="shared" si="34"/>
        <v>2</v>
      </c>
      <c r="N66" s="19" t="str">
        <f t="shared" si="35"/>
        <v>d.LastName</v>
      </c>
      <c r="O66" s="35" t="str">
        <f t="shared" si="36"/>
        <v>&lt;&gt;</v>
      </c>
      <c r="P66" s="36" t="str">
        <f t="shared" si="37"/>
        <v>s.LastName</v>
      </c>
      <c r="Q66" s="115" t="str">
        <f t="shared" si="38"/>
        <v>or  d.LastName &lt;&gt; s.LastName</v>
      </c>
      <c r="R66" s="91" t="s">
        <v>213</v>
      </c>
    </row>
    <row r="67" spans="1:18" ht="14.4" customHeight="1" thickBot="1" x14ac:dyDescent="0.35">
      <c r="A67" s="6" t="s">
        <v>58</v>
      </c>
      <c r="B67" s="54">
        <v>2</v>
      </c>
      <c r="C67" s="56" t="str">
        <f t="shared" si="32"/>
        <v>,LastName</v>
      </c>
      <c r="D67" s="91" t="str">
        <f t="shared" si="33"/>
        <v>,s.LastName</v>
      </c>
      <c r="E67" s="37" t="str">
        <v>TerritoryID</v>
      </c>
      <c r="F67" s="38">
        <f t="shared" si="27"/>
        <v>1</v>
      </c>
      <c r="G67" s="39" t="str">
        <f t="shared" si="28"/>
        <v>d.TerritoryID</v>
      </c>
      <c r="H67" s="40" t="str">
        <f t="shared" si="29"/>
        <v>&lt;&gt;</v>
      </c>
      <c r="I67" s="41" t="str">
        <f t="shared" si="30"/>
        <v>s.TerritoryID</v>
      </c>
      <c r="J67" s="72" t="str">
        <f t="shared" si="31"/>
        <v>or  d.TerritoryID &lt;&gt; s.TerritoryID ) '</v>
      </c>
      <c r="K67" s="165"/>
      <c r="L67" s="33" t="str">
        <v>SalesQuota</v>
      </c>
      <c r="M67" s="34">
        <f t="shared" si="34"/>
        <v>2</v>
      </c>
      <c r="N67" s="19" t="str">
        <f t="shared" si="35"/>
        <v>d.SalesQuota</v>
      </c>
      <c r="O67" s="35" t="str">
        <f t="shared" si="36"/>
        <v>&lt;&gt;</v>
      </c>
      <c r="P67" s="36" t="str">
        <f t="shared" si="37"/>
        <v>s.SalesQuota</v>
      </c>
      <c r="Q67" s="115" t="str">
        <f t="shared" si="38"/>
        <v>or  d.SalesQuota &lt;&gt; s.SalesQuota</v>
      </c>
      <c r="R67" s="91" t="s">
        <v>250</v>
      </c>
    </row>
    <row r="68" spans="1:18" ht="14.4" customHeight="1" x14ac:dyDescent="0.3">
      <c r="A68" s="6" t="s">
        <v>81</v>
      </c>
      <c r="B68" s="54">
        <v>1</v>
      </c>
      <c r="C68" s="56" t="str">
        <f t="shared" si="32"/>
        <v>,OrganizationLevel</v>
      </c>
      <c r="D68" s="91" t="str">
        <f t="shared" si="33"/>
        <v>,s.OrganizationLevel</v>
      </c>
      <c r="E68" s="21"/>
      <c r="F68" s="22"/>
      <c r="G68" s="22"/>
      <c r="H68" s="22"/>
      <c r="L68" s="33" t="str">
        <v>Bonus</v>
      </c>
      <c r="M68" s="34">
        <f t="shared" si="34"/>
        <v>2</v>
      </c>
      <c r="N68" s="19" t="str">
        <f t="shared" si="35"/>
        <v>d.Bonus</v>
      </c>
      <c r="O68" s="35" t="str">
        <f t="shared" si="36"/>
        <v>&lt;&gt;</v>
      </c>
      <c r="P68" s="36" t="str">
        <f t="shared" si="37"/>
        <v>s.Bonus</v>
      </c>
      <c r="Q68" s="115" t="str">
        <f t="shared" si="38"/>
        <v>or  d.Bonus &lt;&gt; s.Bonus</v>
      </c>
      <c r="R68" s="91" t="s">
        <v>230</v>
      </c>
    </row>
    <row r="69" spans="1:18" ht="14.4" customHeight="1" thickBot="1" x14ac:dyDescent="0.35">
      <c r="A69" s="6" t="s">
        <v>83</v>
      </c>
      <c r="B69" s="54">
        <v>1</v>
      </c>
      <c r="C69" s="56" t="str">
        <f t="shared" si="32"/>
        <v>,JobTitle</v>
      </c>
      <c r="D69" s="91" t="str">
        <f t="shared" si="33"/>
        <v>,s.JobTitle</v>
      </c>
      <c r="E69" s="21"/>
      <c r="F69" s="22"/>
      <c r="G69" s="22"/>
      <c r="H69" s="22"/>
      <c r="L69" s="37" t="str">
        <v>CommissionPct</v>
      </c>
      <c r="M69" s="38">
        <f t="shared" si="34"/>
        <v>2</v>
      </c>
      <c r="N69" s="39" t="str">
        <f t="shared" si="35"/>
        <v>d.CommissionPct</v>
      </c>
      <c r="O69" s="40" t="str">
        <f t="shared" si="36"/>
        <v>&lt;&gt;</v>
      </c>
      <c r="P69" s="41" t="str">
        <f t="shared" si="37"/>
        <v>s.CommissionPct</v>
      </c>
      <c r="Q69" s="117" t="str">
        <f t="shared" si="38"/>
        <v>or  d.CommissionPct &lt;&gt; s.CommissionPct ) '</v>
      </c>
      <c r="R69" s="91" t="s">
        <v>265</v>
      </c>
    </row>
    <row r="70" spans="1:18" ht="14.4" customHeight="1" x14ac:dyDescent="0.3">
      <c r="A70" s="6" t="s">
        <v>85</v>
      </c>
      <c r="B70" s="54">
        <v>2</v>
      </c>
      <c r="C70" s="56" t="str">
        <f t="shared" si="32"/>
        <v>,SalesQuota</v>
      </c>
      <c r="D70" s="91" t="str">
        <f t="shared" si="33"/>
        <v>,s.SalesQuota</v>
      </c>
      <c r="E70" s="21"/>
      <c r="F70" s="22"/>
      <c r="G70" s="22"/>
      <c r="H70" s="22"/>
      <c r="L70" s="20"/>
      <c r="M70" s="20"/>
      <c r="N70" s="20"/>
      <c r="O70" s="20"/>
      <c r="P70" s="20"/>
      <c r="Q70" s="20"/>
      <c r="R70" s="91" t="s">
        <v>231</v>
      </c>
    </row>
    <row r="71" spans="1:18" ht="14.4" customHeight="1" x14ac:dyDescent="0.3">
      <c r="A71" s="6" t="s">
        <v>87</v>
      </c>
      <c r="B71" s="54">
        <v>2</v>
      </c>
      <c r="C71" s="56" t="str">
        <f t="shared" si="32"/>
        <v>,Bonus</v>
      </c>
      <c r="D71" s="91" t="str">
        <f t="shared" si="33"/>
        <v>,s.Bonus</v>
      </c>
      <c r="E71" s="21"/>
      <c r="F71" s="22"/>
      <c r="G71" s="22"/>
      <c r="H71" s="22"/>
      <c r="L71" s="22"/>
      <c r="M71" s="22"/>
      <c r="N71" s="22"/>
      <c r="O71" s="22"/>
      <c r="P71" s="22"/>
      <c r="Q71" s="22"/>
      <c r="R71" s="91" t="s">
        <v>266</v>
      </c>
    </row>
    <row r="72" spans="1:18" ht="14.4" customHeight="1" x14ac:dyDescent="0.3">
      <c r="A72" s="6" t="s">
        <v>89</v>
      </c>
      <c r="B72" s="54">
        <v>2</v>
      </c>
      <c r="C72" s="56" t="str">
        <f t="shared" si="32"/>
        <v>,CommissionPct</v>
      </c>
      <c r="D72" s="91" t="str">
        <f t="shared" si="33"/>
        <v>,s.CommissionPct</v>
      </c>
      <c r="E72" s="21"/>
      <c r="F72" s="22"/>
      <c r="G72" s="22"/>
      <c r="H72" s="22"/>
      <c r="L72" s="22"/>
      <c r="M72" s="22"/>
      <c r="N72" s="22"/>
      <c r="O72" s="22"/>
      <c r="P72" s="22"/>
      <c r="Q72" s="22"/>
      <c r="R72" s="91" t="s">
        <v>267</v>
      </c>
    </row>
    <row r="73" spans="1:18" ht="14.4" customHeight="1" x14ac:dyDescent="0.3">
      <c r="A73" s="6" t="s">
        <v>52</v>
      </c>
      <c r="B73" s="54">
        <v>1</v>
      </c>
      <c r="C73" s="56" t="str">
        <f t="shared" si="32"/>
        <v>,TerritoryID</v>
      </c>
      <c r="D73" s="91" t="str">
        <f t="shared" si="33"/>
        <v>,s.TerritoryID</v>
      </c>
      <c r="E73" s="21"/>
      <c r="F73" s="22"/>
      <c r="G73" s="22"/>
      <c r="H73" s="22"/>
      <c r="L73" s="22"/>
      <c r="M73" s="22"/>
      <c r="N73" s="22"/>
      <c r="O73" s="22"/>
      <c r="P73" s="22"/>
      <c r="Q73" s="22"/>
      <c r="R73" s="91" t="s">
        <v>211</v>
      </c>
    </row>
    <row r="74" spans="1:18" ht="14.4" customHeight="1" x14ac:dyDescent="0.3">
      <c r="A74" s="6" t="s">
        <v>197</v>
      </c>
      <c r="B74" s="54"/>
      <c r="C74" s="56" t="str">
        <f t="shared" si="32"/>
        <v>,ValidityDate_Start</v>
      </c>
      <c r="D74" s="91" t="str">
        <f t="shared" si="33"/>
        <v>,s.ValidityDate_Start</v>
      </c>
      <c r="E74" s="21"/>
      <c r="F74" s="22"/>
      <c r="G74" s="22"/>
      <c r="H74" s="22"/>
      <c r="L74" s="22"/>
      <c r="M74" s="22"/>
      <c r="N74" s="22"/>
      <c r="O74" s="22"/>
      <c r="P74" s="22"/>
      <c r="Q74" s="22"/>
      <c r="R74" s="91" t="s">
        <v>214</v>
      </c>
    </row>
    <row r="75" spans="1:18" ht="14.4" customHeight="1" thickBot="1" x14ac:dyDescent="0.35">
      <c r="A75" s="95" t="s">
        <v>198</v>
      </c>
      <c r="B75" s="102"/>
      <c r="C75" s="103" t="str">
        <f t="shared" si="32"/>
        <v>,ValidityDate_End</v>
      </c>
      <c r="D75" s="112" t="str">
        <f t="shared" si="33"/>
        <v>,s.ValidityDate_End</v>
      </c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92" t="s">
        <v>215</v>
      </c>
    </row>
    <row r="76" spans="1:18" ht="14.4" customHeight="1" thickBot="1" x14ac:dyDescent="0.35">
      <c r="A76" s="15" t="s">
        <v>151</v>
      </c>
      <c r="B76" s="16"/>
      <c r="C76" s="15" t="s">
        <v>151</v>
      </c>
      <c r="D76" s="16"/>
      <c r="E76" s="15" t="s">
        <v>151</v>
      </c>
      <c r="F76" s="16"/>
      <c r="G76" s="113"/>
      <c r="H76" s="113"/>
      <c r="I76" s="113"/>
      <c r="J76" s="113"/>
      <c r="K76" s="113"/>
      <c r="L76" s="15" t="s">
        <v>151</v>
      </c>
      <c r="M76" s="113"/>
      <c r="N76" s="113"/>
      <c r="O76" s="113"/>
      <c r="P76" s="113"/>
      <c r="Q76" s="113"/>
      <c r="R76" s="118" t="s">
        <v>151</v>
      </c>
    </row>
    <row r="77" spans="1:18" ht="14.4" customHeight="1" x14ac:dyDescent="0.3">
      <c r="A77" s="12" t="s">
        <v>118</v>
      </c>
      <c r="B77" s="4" t="s">
        <v>200</v>
      </c>
      <c r="C77" s="4"/>
      <c r="D77" s="4"/>
      <c r="E77" s="4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89" t="s">
        <v>216</v>
      </c>
    </row>
    <row r="78" spans="1:18" ht="14.4" customHeight="1" x14ac:dyDescent="0.3">
      <c r="A78" s="1" t="s">
        <v>121</v>
      </c>
      <c r="B78" s="4" t="s">
        <v>200</v>
      </c>
      <c r="C78" s="4"/>
      <c r="D78" s="4"/>
      <c r="E78" s="4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91" t="s">
        <v>268</v>
      </c>
    </row>
    <row r="79" spans="1:18" ht="14.4" customHeight="1" x14ac:dyDescent="0.3">
      <c r="A79" s="1" t="s">
        <v>123</v>
      </c>
      <c r="B79" s="4" t="s">
        <v>200</v>
      </c>
      <c r="C79" s="4"/>
      <c r="D79" s="4"/>
      <c r="E79" s="4"/>
      <c r="F79" s="4"/>
      <c r="G79" s="22"/>
      <c r="H79" s="22"/>
      <c r="I79" s="22"/>
      <c r="J79" s="22"/>
      <c r="K79" s="22"/>
      <c r="L79" s="22"/>
      <c r="N79" s="22"/>
      <c r="O79" s="22"/>
      <c r="P79" s="22"/>
      <c r="Q79" s="22"/>
      <c r="R79" s="91" t="s">
        <v>269</v>
      </c>
    </row>
    <row r="80" spans="1:18" ht="14.4" customHeight="1" x14ac:dyDescent="0.3">
      <c r="A80" s="1" t="s">
        <v>3</v>
      </c>
      <c r="B80" s="4" t="s">
        <v>200</v>
      </c>
      <c r="C80" s="4"/>
      <c r="D80" s="4"/>
      <c r="E80" s="4"/>
      <c r="F80" s="4"/>
      <c r="G80" s="4"/>
      <c r="H80" s="4"/>
      <c r="I80" s="4"/>
      <c r="J80" s="4"/>
      <c r="K80" s="4"/>
      <c r="L80" s="4"/>
      <c r="N80" s="4"/>
      <c r="O80" s="4"/>
      <c r="P80" s="4"/>
      <c r="Q80" s="4"/>
      <c r="R80" s="91" t="s">
        <v>252</v>
      </c>
    </row>
    <row r="81" spans="1:18" ht="14.4" customHeight="1" x14ac:dyDescent="0.3">
      <c r="A81" s="1" t="s">
        <v>65</v>
      </c>
      <c r="B81" s="4" t="s">
        <v>200</v>
      </c>
      <c r="C81" s="4"/>
      <c r="D81" s="4"/>
      <c r="E81" s="4"/>
      <c r="F81" s="4"/>
      <c r="G81" s="4"/>
      <c r="H81" s="4"/>
      <c r="I81" s="4"/>
      <c r="J81" s="4"/>
      <c r="K81" s="4"/>
      <c r="L81" s="4"/>
      <c r="N81" s="4"/>
      <c r="O81" s="4"/>
      <c r="P81" s="4"/>
      <c r="Q81" s="4"/>
      <c r="R81" s="91" t="s">
        <v>270</v>
      </c>
    </row>
    <row r="82" spans="1:18" ht="14.4" customHeight="1" x14ac:dyDescent="0.3">
      <c r="A82" s="1" t="s">
        <v>51</v>
      </c>
      <c r="B82" s="4" t="s">
        <v>200</v>
      </c>
      <c r="C82" s="4"/>
      <c r="D82" s="4"/>
      <c r="E82" s="4"/>
      <c r="F82" s="4"/>
      <c r="G82" s="4"/>
      <c r="H82" s="4"/>
      <c r="I82" s="4"/>
      <c r="J82" s="4"/>
      <c r="K82" s="4"/>
      <c r="L82" s="4"/>
      <c r="N82" s="4"/>
      <c r="O82" s="4"/>
      <c r="P82" s="4"/>
      <c r="Q82" s="4"/>
      <c r="R82" s="91" t="s">
        <v>210</v>
      </c>
    </row>
    <row r="83" spans="1:18" ht="14.4" customHeight="1" x14ac:dyDescent="0.3">
      <c r="A83" s="1" t="s">
        <v>124</v>
      </c>
      <c r="B83" s="4" t="s">
        <v>200</v>
      </c>
      <c r="C83" s="4"/>
      <c r="D83" s="4"/>
      <c r="E83" s="4"/>
      <c r="F83" s="4"/>
      <c r="G83" s="4"/>
      <c r="H83" s="4"/>
      <c r="I83" s="4"/>
      <c r="J83" s="4"/>
      <c r="K83" s="4"/>
      <c r="L83" s="4"/>
      <c r="N83" s="4"/>
      <c r="O83" s="4"/>
      <c r="P83" s="4"/>
      <c r="Q83" s="4"/>
      <c r="R83" s="91" t="s">
        <v>271</v>
      </c>
    </row>
    <row r="84" spans="1:18" ht="14.4" customHeight="1" x14ac:dyDescent="0.3">
      <c r="A84" s="1" t="s">
        <v>52</v>
      </c>
      <c r="B84" s="4" t="s">
        <v>200</v>
      </c>
      <c r="C84" s="4"/>
      <c r="D84" s="4"/>
      <c r="E84" s="4"/>
      <c r="F84" s="4"/>
      <c r="G84" s="4"/>
      <c r="H84" s="4"/>
      <c r="I84" s="4"/>
      <c r="J84" s="4"/>
      <c r="K84" s="4"/>
      <c r="L84" s="4"/>
      <c r="N84" s="4"/>
      <c r="O84" s="4"/>
      <c r="P84" s="4"/>
      <c r="Q84" s="4"/>
      <c r="R84" s="91" t="s">
        <v>211</v>
      </c>
    </row>
    <row r="85" spans="1:18" ht="14.4" customHeight="1" x14ac:dyDescent="0.3">
      <c r="A85" s="1" t="s">
        <v>125</v>
      </c>
      <c r="B85" s="4" t="s">
        <v>200</v>
      </c>
      <c r="C85" s="4"/>
      <c r="D85" s="4"/>
      <c r="E85" s="4"/>
      <c r="F85" s="4"/>
      <c r="G85" s="4"/>
      <c r="H85" s="4"/>
      <c r="I85" s="4"/>
      <c r="J85" s="4"/>
      <c r="K85" s="4"/>
      <c r="L85" s="4"/>
      <c r="N85" s="4"/>
      <c r="O85" s="4"/>
      <c r="P85" s="4"/>
      <c r="Q85" s="4"/>
      <c r="R85" s="91" t="s">
        <v>272</v>
      </c>
    </row>
    <row r="86" spans="1:18" ht="14.4" customHeight="1" x14ac:dyDescent="0.3">
      <c r="A86" s="1" t="s">
        <v>126</v>
      </c>
      <c r="B86" s="4" t="s">
        <v>200</v>
      </c>
      <c r="C86" s="4"/>
      <c r="D86" s="4"/>
      <c r="E86" s="4"/>
      <c r="F86" s="4"/>
      <c r="G86" s="4"/>
      <c r="H86" s="4"/>
      <c r="I86" s="4"/>
      <c r="J86" s="4"/>
      <c r="K86" s="4"/>
      <c r="L86" s="4"/>
      <c r="N86" s="4"/>
      <c r="O86" s="4"/>
      <c r="P86" s="4"/>
      <c r="Q86" s="4"/>
      <c r="R86" s="91" t="s">
        <v>218</v>
      </c>
    </row>
    <row r="87" spans="1:18" ht="14.4" customHeight="1" x14ac:dyDescent="0.3">
      <c r="A87" s="1" t="s">
        <v>127</v>
      </c>
      <c r="B87" s="4" t="s">
        <v>200</v>
      </c>
      <c r="C87" s="4"/>
      <c r="D87" s="4"/>
      <c r="E87" s="4"/>
      <c r="F87" s="4"/>
      <c r="G87" s="4"/>
      <c r="H87" s="4"/>
      <c r="I87" s="4"/>
      <c r="J87" s="4"/>
      <c r="K87" s="4"/>
      <c r="L87" s="4"/>
      <c r="N87" s="4"/>
      <c r="O87" s="4"/>
      <c r="P87" s="4"/>
      <c r="Q87" s="4"/>
      <c r="R87" s="91" t="s">
        <v>273</v>
      </c>
    </row>
    <row r="88" spans="1:18" ht="14.4" customHeight="1" x14ac:dyDescent="0.3">
      <c r="A88" s="1" t="s">
        <v>128</v>
      </c>
      <c r="B88" s="4" t="s">
        <v>200</v>
      </c>
      <c r="C88" s="4"/>
      <c r="D88" s="4"/>
      <c r="E88" s="4"/>
      <c r="F88" s="4"/>
      <c r="G88" s="4"/>
      <c r="H88" s="4"/>
      <c r="I88" s="4"/>
      <c r="J88" s="4"/>
      <c r="K88" s="4"/>
      <c r="L88" s="4"/>
      <c r="N88" s="4"/>
      <c r="O88" s="4"/>
      <c r="P88" s="4"/>
      <c r="Q88" s="4"/>
      <c r="R88" s="91" t="s">
        <v>274</v>
      </c>
    </row>
    <row r="89" spans="1:18" ht="14.4" customHeight="1" x14ac:dyDescent="0.3">
      <c r="A89" s="1" t="s">
        <v>130</v>
      </c>
      <c r="B89" s="4" t="s">
        <v>200</v>
      </c>
      <c r="C89" s="4"/>
      <c r="D89" s="4"/>
      <c r="E89" s="4"/>
      <c r="F89" s="4"/>
      <c r="G89" s="4"/>
      <c r="H89" s="4"/>
      <c r="I89" s="4"/>
      <c r="J89" s="4"/>
      <c r="K89" s="4"/>
      <c r="L89" s="4"/>
      <c r="N89" s="4"/>
      <c r="O89" s="4"/>
      <c r="P89" s="4"/>
      <c r="Q89" s="4"/>
      <c r="R89" s="91" t="s">
        <v>219</v>
      </c>
    </row>
    <row r="90" spans="1:18" ht="14.4" customHeight="1" x14ac:dyDescent="0.3">
      <c r="A90" s="1" t="s">
        <v>132</v>
      </c>
      <c r="B90" s="4" t="s">
        <v>200</v>
      </c>
      <c r="C90" s="4"/>
      <c r="D90" s="4"/>
      <c r="E90" s="4"/>
      <c r="F90" s="4"/>
      <c r="G90" s="4"/>
      <c r="H90" s="4"/>
      <c r="I90" s="4"/>
      <c r="J90" s="4"/>
      <c r="K90" s="4"/>
      <c r="L90" s="4"/>
      <c r="N90" s="4"/>
      <c r="O90" s="4"/>
      <c r="P90" s="4"/>
      <c r="Q90" s="4"/>
      <c r="R90" s="91" t="s">
        <v>275</v>
      </c>
    </row>
    <row r="91" spans="1:18" ht="14.4" customHeight="1" x14ac:dyDescent="0.3">
      <c r="A91" s="1" t="s">
        <v>134</v>
      </c>
      <c r="B91" s="4" t="s">
        <v>200</v>
      </c>
      <c r="C91" s="4"/>
      <c r="D91" s="4"/>
      <c r="E91" s="4"/>
      <c r="F91" s="4"/>
      <c r="G91" s="4"/>
      <c r="H91" s="4"/>
      <c r="I91" s="4"/>
      <c r="J91" s="4"/>
      <c r="K91" s="4"/>
      <c r="L91" s="4"/>
      <c r="N91" s="4"/>
      <c r="O91" s="4"/>
      <c r="P91" s="4"/>
      <c r="Q91" s="4"/>
      <c r="R91" s="91" t="s">
        <v>276</v>
      </c>
    </row>
    <row r="92" spans="1:18" ht="14.4" customHeight="1" x14ac:dyDescent="0.3">
      <c r="A92" s="1" t="s">
        <v>137</v>
      </c>
      <c r="B92" s="4" t="s">
        <v>200</v>
      </c>
      <c r="C92" s="4"/>
      <c r="D92" s="4"/>
      <c r="E92" s="4"/>
      <c r="F92" s="4"/>
      <c r="G92" s="4"/>
      <c r="H92" s="4"/>
      <c r="I92" s="4"/>
      <c r="J92" s="4"/>
      <c r="K92" s="4"/>
      <c r="L92" s="4"/>
      <c r="N92" s="4"/>
      <c r="O92" s="4"/>
      <c r="P92" s="4"/>
      <c r="Q92" s="4"/>
      <c r="R92" s="91" t="s">
        <v>277</v>
      </c>
    </row>
    <row r="93" spans="1:18" ht="14.4" customHeight="1" x14ac:dyDescent="0.3">
      <c r="A93" s="1" t="s">
        <v>139</v>
      </c>
      <c r="B93" s="4" t="s">
        <v>200</v>
      </c>
      <c r="C93" s="4"/>
      <c r="D93" s="4"/>
      <c r="E93" s="4"/>
      <c r="F93" s="4"/>
      <c r="G93" s="4"/>
      <c r="H93" s="4"/>
      <c r="I93" s="4"/>
      <c r="J93" s="4"/>
      <c r="K93" s="4"/>
      <c r="L93" s="4"/>
      <c r="N93" s="4"/>
      <c r="O93" s="4"/>
      <c r="P93" s="4"/>
      <c r="Q93" s="4"/>
      <c r="R93" s="91" t="s">
        <v>278</v>
      </c>
    </row>
    <row r="94" spans="1:18" ht="14.4" customHeight="1" x14ac:dyDescent="0.3">
      <c r="A94" s="1" t="s">
        <v>141</v>
      </c>
      <c r="B94" s="4" t="s">
        <v>200</v>
      </c>
      <c r="C94" s="4"/>
      <c r="D94" s="4"/>
      <c r="E94" s="4"/>
      <c r="F94" s="4"/>
      <c r="G94" s="4"/>
      <c r="H94" s="4"/>
      <c r="I94" s="4"/>
      <c r="J94" s="4"/>
      <c r="K94" s="4"/>
      <c r="L94" s="4"/>
      <c r="N94" s="4"/>
      <c r="O94" s="4"/>
      <c r="P94" s="4"/>
      <c r="Q94" s="4"/>
      <c r="R94" s="91" t="s">
        <v>279</v>
      </c>
    </row>
    <row r="95" spans="1:18" ht="14.4" customHeight="1" x14ac:dyDescent="0.3">
      <c r="A95" s="1" t="s">
        <v>143</v>
      </c>
      <c r="B95" s="4" t="s">
        <v>200</v>
      </c>
      <c r="C95" s="4"/>
      <c r="D95" s="4"/>
      <c r="E95" s="4"/>
      <c r="F95" s="4"/>
      <c r="G95" s="4"/>
      <c r="H95" s="4"/>
      <c r="I95" s="4"/>
      <c r="J95" s="4"/>
      <c r="K95" s="4"/>
      <c r="L95" s="4"/>
      <c r="N95" s="4"/>
      <c r="O95" s="4"/>
      <c r="P95" s="4"/>
      <c r="Q95" s="4"/>
      <c r="R95" s="91" t="s">
        <v>280</v>
      </c>
    </row>
    <row r="96" spans="1:18" ht="14.4" customHeight="1" x14ac:dyDescent="0.3">
      <c r="A96" s="1" t="s">
        <v>144</v>
      </c>
      <c r="B96" s="4" t="s">
        <v>200</v>
      </c>
      <c r="C96" s="4"/>
      <c r="D96" s="4"/>
      <c r="E96" s="4"/>
      <c r="F96" s="4"/>
      <c r="G96" s="4"/>
      <c r="H96" s="4"/>
      <c r="I96" s="4"/>
      <c r="J96" s="4"/>
      <c r="K96" s="4"/>
      <c r="L96" s="4"/>
      <c r="N96" s="4"/>
      <c r="O96" s="4"/>
      <c r="P96" s="4"/>
      <c r="Q96" s="4"/>
      <c r="R96" s="91" t="s">
        <v>281</v>
      </c>
    </row>
    <row r="97" spans="1:18" ht="14.4" customHeight="1" x14ac:dyDescent="0.3">
      <c r="A97" s="1" t="s">
        <v>145</v>
      </c>
      <c r="B97" s="4" t="s">
        <v>200</v>
      </c>
      <c r="C97" s="4"/>
      <c r="D97" s="4"/>
      <c r="E97" s="4"/>
      <c r="F97" s="4"/>
      <c r="G97" s="4"/>
      <c r="H97" s="4"/>
      <c r="I97" s="4"/>
      <c r="J97" s="4"/>
      <c r="K97" s="4"/>
      <c r="L97" s="4"/>
      <c r="N97" s="4"/>
      <c r="O97" s="4"/>
      <c r="P97" s="4"/>
      <c r="Q97" s="4"/>
      <c r="R97" s="91" t="s">
        <v>282</v>
      </c>
    </row>
    <row r="98" spans="1:18" ht="14.4" customHeight="1" x14ac:dyDescent="0.3">
      <c r="A98" s="1" t="s">
        <v>146</v>
      </c>
      <c r="B98" s="4" t="s">
        <v>200</v>
      </c>
      <c r="C98" s="4"/>
      <c r="D98" s="4"/>
      <c r="E98" s="4"/>
      <c r="F98" s="4"/>
      <c r="G98" s="4"/>
      <c r="H98" s="4"/>
      <c r="I98" s="4"/>
      <c r="J98" s="4"/>
      <c r="K98" s="4"/>
      <c r="L98" s="4"/>
      <c r="N98" s="4"/>
      <c r="O98" s="4"/>
      <c r="P98" s="4"/>
      <c r="Q98" s="4"/>
      <c r="R98" s="91" t="s">
        <v>283</v>
      </c>
    </row>
    <row r="99" spans="1:18" ht="14.4" customHeight="1" x14ac:dyDescent="0.3">
      <c r="A99" s="1" t="s">
        <v>147</v>
      </c>
      <c r="B99" s="4" t="s">
        <v>200</v>
      </c>
      <c r="C99" s="4"/>
      <c r="D99" s="4"/>
      <c r="E99" s="4"/>
      <c r="F99" s="4"/>
      <c r="G99" s="4"/>
      <c r="H99" s="4"/>
      <c r="I99" s="4"/>
      <c r="J99" s="4"/>
      <c r="K99" s="4"/>
      <c r="L99" s="4"/>
      <c r="N99" s="4"/>
      <c r="O99" s="4"/>
      <c r="P99" s="4"/>
      <c r="Q99" s="4"/>
      <c r="R99" s="91" t="s">
        <v>284</v>
      </c>
    </row>
    <row r="100" spans="1:18" ht="14.4" customHeight="1" thickBot="1" x14ac:dyDescent="0.35">
      <c r="A100" s="1" t="s">
        <v>196</v>
      </c>
      <c r="B100" s="4" t="s">
        <v>200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N100" s="4"/>
      <c r="O100" s="4"/>
      <c r="P100" s="4"/>
      <c r="Q100" s="4"/>
      <c r="R100" s="92" t="s">
        <v>220</v>
      </c>
    </row>
    <row r="101" spans="1:18" ht="14.4" customHeight="1" x14ac:dyDescent="0.3">
      <c r="A101" s="4"/>
      <c r="B101" s="4"/>
      <c r="C101" s="4"/>
      <c r="D101" s="4"/>
      <c r="E101" s="4"/>
      <c r="F101" s="4"/>
    </row>
    <row r="102" spans="1:18" ht="14.4" customHeight="1" x14ac:dyDescent="0.3">
      <c r="A102" s="4"/>
      <c r="B102" s="4"/>
      <c r="C102" s="4"/>
      <c r="D102" s="4"/>
      <c r="E102" s="4"/>
      <c r="F102" s="4"/>
    </row>
    <row r="103" spans="1:18" ht="14.4" customHeight="1" x14ac:dyDescent="0.3">
      <c r="A103" s="4"/>
      <c r="B103" s="4"/>
      <c r="C103" s="4"/>
      <c r="D103" s="4"/>
      <c r="E103" s="4"/>
      <c r="F103" s="4"/>
    </row>
    <row r="104" spans="1:18" ht="14.4" customHeight="1" x14ac:dyDescent="0.3">
      <c r="A104" s="4"/>
      <c r="B104" s="4"/>
      <c r="C104" s="4"/>
      <c r="D104" s="4"/>
      <c r="E104" s="4"/>
      <c r="F104" s="4"/>
    </row>
    <row r="105" spans="1:18" ht="14.4" customHeight="1" x14ac:dyDescent="0.3">
      <c r="A105" s="4"/>
      <c r="B105" s="4"/>
      <c r="C105" s="4"/>
      <c r="D105" s="4"/>
      <c r="E105" s="4"/>
      <c r="F105" s="4"/>
    </row>
  </sheetData>
  <mergeCells count="9">
    <mergeCell ref="A1:B2"/>
    <mergeCell ref="C1:D2"/>
    <mergeCell ref="E1:J2"/>
    <mergeCell ref="L1:Q2"/>
    <mergeCell ref="R1:R3"/>
    <mergeCell ref="K5:K13"/>
    <mergeCell ref="K20:K31"/>
    <mergeCell ref="K62:K67"/>
    <mergeCell ref="K38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OLTP Tables</vt:lpstr>
      <vt:lpstr>DWH Tables Metadata</vt:lpstr>
      <vt:lpstr>Loading Data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Hkn</dc:creator>
  <cp:lastModifiedBy>Amine Hkn</cp:lastModifiedBy>
  <dcterms:created xsi:type="dcterms:W3CDTF">2025-08-30T13:46:47Z</dcterms:created>
  <dcterms:modified xsi:type="dcterms:W3CDTF">2025-10-22T17:06:03Z</dcterms:modified>
</cp:coreProperties>
</file>